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kwolfram-schauerte/Documents/Collaborations/Anna_Wolfram/RNA-seq_organoids/Analysis_R/"/>
    </mc:Choice>
  </mc:AlternateContent>
  <xr:revisionPtr revIDLastSave="0" documentId="13_ncr:1_{3093EDE3-ABDE-584F-93BB-C1D6146B5A91}" xr6:coauthVersionLast="47" xr6:coauthVersionMax="47" xr10:uidLastSave="{00000000-0000-0000-0000-000000000000}"/>
  <bookViews>
    <workbookView xWindow="0" yWindow="740" windowWidth="29400" windowHeight="18380" activeTab="2" xr2:uid="{06CB322A-ABC5-D142-BB4F-226702EB6D0F}"/>
  </bookViews>
  <sheets>
    <sheet name="Samples" sheetId="1" r:id="rId1"/>
    <sheet name="Sorting" sheetId="7" r:id="rId2"/>
    <sheet name="Final_annotation" sheetId="8" r:id="rId3"/>
    <sheet name="Layout" sheetId="2" r:id="rId4"/>
    <sheet name="Calculation" sheetId="6" r:id="rId5"/>
    <sheet name="Stock" sheetId="3" r:id="rId6"/>
    <sheet name="Drug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6" l="1"/>
  <c r="F13" i="6"/>
  <c r="G13" i="6" s="1"/>
  <c r="I13" i="6" s="1"/>
  <c r="L13" i="6" s="1"/>
  <c r="G11" i="6"/>
  <c r="I11" i="6" s="1"/>
  <c r="G10" i="6"/>
  <c r="I10" i="6" s="1"/>
  <c r="N10" i="6" s="1"/>
  <c r="G9" i="6"/>
  <c r="I9" i="6" s="1"/>
  <c r="G8" i="6"/>
  <c r="I8" i="6" s="1"/>
  <c r="G7" i="6"/>
  <c r="I7" i="6" s="1"/>
  <c r="G6" i="6"/>
  <c r="I6" i="6" s="1"/>
  <c r="F12" i="6"/>
  <c r="L26" i="3"/>
  <c r="O26" i="3" s="1"/>
  <c r="L20" i="3"/>
  <c r="O20" i="3" s="1"/>
  <c r="L15" i="3"/>
  <c r="O15" i="3" s="1"/>
  <c r="L11" i="3"/>
  <c r="O11" i="3" s="1"/>
  <c r="L7" i="3"/>
  <c r="O7" i="3" s="1"/>
  <c r="L3" i="3"/>
  <c r="O3" i="3" s="1"/>
  <c r="O24" i="1"/>
  <c r="N23" i="1"/>
  <c r="N20" i="1"/>
  <c r="N19" i="1"/>
  <c r="N17" i="1"/>
  <c r="B32" i="1"/>
  <c r="F22" i="1"/>
  <c r="I10" i="1"/>
  <c r="J13" i="6" l="1"/>
  <c r="N13" i="6"/>
  <c r="P13" i="6" s="1"/>
  <c r="N11" i="6"/>
  <c r="L11" i="6"/>
  <c r="P11" i="6" s="1"/>
  <c r="J11" i="6"/>
  <c r="J10" i="6"/>
  <c r="L10" i="6"/>
  <c r="P10" i="6" s="1"/>
  <c r="J9" i="6"/>
  <c r="N9" i="6"/>
  <c r="L9" i="6"/>
  <c r="P9" i="6" s="1"/>
  <c r="G12" i="6"/>
  <c r="I12" i="6" s="1"/>
  <c r="N6" i="6"/>
  <c r="O6" i="6" s="1"/>
  <c r="P6" i="6"/>
  <c r="J6" i="6"/>
  <c r="J7" i="6"/>
  <c r="N7" i="6"/>
  <c r="O7" i="6" s="1"/>
  <c r="N8" i="6"/>
  <c r="L8" i="6"/>
  <c r="J8" i="6"/>
  <c r="O13" i="6" l="1"/>
  <c r="O11" i="6"/>
  <c r="O10" i="6"/>
  <c r="O9" i="6"/>
  <c r="J12" i="6"/>
  <c r="N12" i="6"/>
  <c r="L12" i="6"/>
  <c r="P12" i="6" s="1"/>
  <c r="P8" i="6"/>
  <c r="O8" i="6"/>
  <c r="P7" i="6"/>
  <c r="O12" i="6" l="1"/>
</calcChain>
</file>

<file path=xl/sharedStrings.xml><?xml version="1.0" encoding="utf-8"?>
<sst xmlns="http://schemas.openxmlformats.org/spreadsheetml/2006/main" count="749" uniqueCount="208">
  <si>
    <t>AUF</t>
  </si>
  <si>
    <t>DMSO</t>
  </si>
  <si>
    <t>TMZ</t>
  </si>
  <si>
    <t>Gen1S</t>
  </si>
  <si>
    <t>Gen2S</t>
  </si>
  <si>
    <t>Gen3S</t>
  </si>
  <si>
    <t>Gen4S</t>
  </si>
  <si>
    <t>Control</t>
  </si>
  <si>
    <t>A1_1</t>
  </si>
  <si>
    <t>A1_2</t>
  </si>
  <si>
    <t>A1_3</t>
  </si>
  <si>
    <t>B1_1</t>
  </si>
  <si>
    <t>B1_2</t>
  </si>
  <si>
    <t>B1_3</t>
  </si>
  <si>
    <t>C1_1</t>
  </si>
  <si>
    <t>C1_2</t>
  </si>
  <si>
    <t>C1_3</t>
  </si>
  <si>
    <t>D1_1</t>
  </si>
  <si>
    <t>D1_2</t>
  </si>
  <si>
    <t>D1_3</t>
  </si>
  <si>
    <t>E1_1</t>
  </si>
  <si>
    <t>E1_2</t>
  </si>
  <si>
    <t>E1_3</t>
  </si>
  <si>
    <t>F1_1</t>
  </si>
  <si>
    <t>F1_2</t>
  </si>
  <si>
    <t>F1_3</t>
  </si>
  <si>
    <t>G1_1</t>
  </si>
  <si>
    <t>G1_2</t>
  </si>
  <si>
    <t>G1_3</t>
  </si>
  <si>
    <t>H1_1</t>
  </si>
  <si>
    <t>H1_2</t>
  </si>
  <si>
    <t>H1_3</t>
  </si>
  <si>
    <t>A2_1</t>
  </si>
  <si>
    <t>B2_1</t>
  </si>
  <si>
    <t>C2_1</t>
  </si>
  <si>
    <t>D2_1</t>
  </si>
  <si>
    <t>E2_1</t>
  </si>
  <si>
    <t>F2_1</t>
  </si>
  <si>
    <t>G2_1</t>
  </si>
  <si>
    <t>H2_1</t>
  </si>
  <si>
    <t>A2_2</t>
  </si>
  <si>
    <t>B2_2</t>
  </si>
  <si>
    <t>C2_2</t>
  </si>
  <si>
    <t>D2_2</t>
  </si>
  <si>
    <t>E2_2</t>
  </si>
  <si>
    <t>F2_2</t>
  </si>
  <si>
    <t>G2_2</t>
  </si>
  <si>
    <t>H2_2</t>
  </si>
  <si>
    <t>A2_3</t>
  </si>
  <si>
    <t>B2_3</t>
  </si>
  <si>
    <t>C2_3</t>
  </si>
  <si>
    <t>D2_3</t>
  </si>
  <si>
    <t>E2_3</t>
  </si>
  <si>
    <t>F2_3</t>
  </si>
  <si>
    <t>G2_3</t>
  </si>
  <si>
    <t>H2_3</t>
  </si>
  <si>
    <t>A3_1</t>
  </si>
  <si>
    <t>A3_2</t>
  </si>
  <si>
    <t>B3_1</t>
  </si>
  <si>
    <t>C3_1</t>
  </si>
  <si>
    <t>D3_1</t>
  </si>
  <si>
    <t>E3_1</t>
  </si>
  <si>
    <t>F3_1</t>
  </si>
  <si>
    <t>G3_1</t>
  </si>
  <si>
    <t>H3_1</t>
  </si>
  <si>
    <t>B3_2</t>
  </si>
  <si>
    <t>C3_2</t>
  </si>
  <si>
    <t>D3_2</t>
  </si>
  <si>
    <t>E3_2</t>
  </si>
  <si>
    <t>F3_2</t>
  </si>
  <si>
    <t>G3_2</t>
  </si>
  <si>
    <t>H3_2</t>
  </si>
  <si>
    <t>A3_3</t>
  </si>
  <si>
    <t>B3_3</t>
  </si>
  <si>
    <t>C3_3</t>
  </si>
  <si>
    <t>D3_3</t>
  </si>
  <si>
    <t>E3_3</t>
  </si>
  <si>
    <t>F3_3</t>
  </si>
  <si>
    <t>G3_3</t>
  </si>
  <si>
    <t>H3_3</t>
  </si>
  <si>
    <t>CC_Organoid</t>
  </si>
  <si>
    <t>CC_Glioma</t>
  </si>
  <si>
    <t>Organoid_only</t>
  </si>
  <si>
    <t>n</t>
  </si>
  <si>
    <t>GFP-only</t>
  </si>
  <si>
    <t xml:space="preserve">Organoid only </t>
  </si>
  <si>
    <t>Organoid with cell tracker</t>
  </si>
  <si>
    <t>A</t>
  </si>
  <si>
    <t>B</t>
  </si>
  <si>
    <t>C</t>
  </si>
  <si>
    <t>D</t>
  </si>
  <si>
    <t>E</t>
  </si>
  <si>
    <t>F</t>
  </si>
  <si>
    <t>G</t>
  </si>
  <si>
    <t>H</t>
  </si>
  <si>
    <t xml:space="preserve">220 µL </t>
  </si>
  <si>
    <t>1000 µM</t>
  </si>
  <si>
    <t xml:space="preserve">Prepare 1000 µM stock: </t>
  </si>
  <si>
    <t>g</t>
  </si>
  <si>
    <t>=</t>
  </si>
  <si>
    <t>l</t>
  </si>
  <si>
    <t>µl</t>
  </si>
  <si>
    <t>mol/l</t>
  </si>
  <si>
    <t>x</t>
  </si>
  <si>
    <t>g/mol</t>
  </si>
  <si>
    <t>S</t>
  </si>
  <si>
    <t xml:space="preserve">Prepare 100 mM stock: </t>
  </si>
  <si>
    <t xml:space="preserve">DMSO </t>
  </si>
  <si>
    <t xml:space="preserve">Gen2S </t>
  </si>
  <si>
    <t xml:space="preserve">Gen4S </t>
  </si>
  <si>
    <t>#</t>
  </si>
  <si>
    <t>DMSO in µL</t>
  </si>
  <si>
    <t>mg</t>
  </si>
  <si>
    <t>Condition</t>
  </si>
  <si>
    <t>n(wells)</t>
  </si>
  <si>
    <t>Access</t>
  </si>
  <si>
    <t>V / well in µl</t>
  </si>
  <si>
    <t>Total V in µl</t>
  </si>
  <si>
    <t>Total V in ml</t>
  </si>
  <si>
    <t>C(stock)</t>
  </si>
  <si>
    <t>V(stock) in µl</t>
  </si>
  <si>
    <t>DMSO in % (v/v)</t>
  </si>
  <si>
    <t>DMSO in µl</t>
  </si>
  <si>
    <t>Dif DMSO(final)-DMSO drug stock</t>
  </si>
  <si>
    <t>V(media)</t>
  </si>
  <si>
    <t>2 µM</t>
  </si>
  <si>
    <t>500 µM</t>
  </si>
  <si>
    <t>100000 µM</t>
  </si>
  <si>
    <t xml:space="preserve"> </t>
  </si>
  <si>
    <t>RFP</t>
  </si>
  <si>
    <t>GFP</t>
  </si>
  <si>
    <t>Sample</t>
  </si>
  <si>
    <r>
      <t xml:space="preserve">D1_2 </t>
    </r>
    <r>
      <rPr>
        <sz val="12"/>
        <color rgb="FFFF0000"/>
        <rFont val="Aptos Narrow (Body)"/>
      </rPr>
      <t>tubeD2_1</t>
    </r>
  </si>
  <si>
    <r>
      <t xml:space="preserve">D2_1 tube </t>
    </r>
    <r>
      <rPr>
        <sz val="12"/>
        <color rgb="FFFF0000"/>
        <rFont val="Aptos Narrow (Body)"/>
      </rPr>
      <t>D1_2</t>
    </r>
  </si>
  <si>
    <r>
      <t xml:space="preserve">D1_3 </t>
    </r>
    <r>
      <rPr>
        <sz val="12"/>
        <color rgb="FFFF0000"/>
        <rFont val="Aptos Narrow (Body)"/>
      </rPr>
      <t>tube D3_1</t>
    </r>
  </si>
  <si>
    <r>
      <t xml:space="preserve">D2_3 </t>
    </r>
    <r>
      <rPr>
        <sz val="12"/>
        <color rgb="FFFF0000"/>
        <rFont val="Aptos Narrow (Body)"/>
      </rPr>
      <t>tube D3_2</t>
    </r>
  </si>
  <si>
    <t>few cells</t>
  </si>
  <si>
    <t>4500 cells</t>
  </si>
  <si>
    <t>5000 cells</t>
  </si>
  <si>
    <t>500 cells</t>
  </si>
  <si>
    <t>1000 cells</t>
  </si>
  <si>
    <t>600 cells</t>
  </si>
  <si>
    <t>800 cells</t>
  </si>
  <si>
    <t>1100 cells</t>
  </si>
  <si>
    <t>700 cells</t>
  </si>
  <si>
    <t>4000 cells</t>
  </si>
  <si>
    <t>2500 cells</t>
  </si>
  <si>
    <t>550 cells</t>
  </si>
  <si>
    <t>2100 cells</t>
  </si>
  <si>
    <t>900 cells</t>
  </si>
  <si>
    <t>4300 cells</t>
  </si>
  <si>
    <t>850 cells</t>
  </si>
  <si>
    <t>A1-1</t>
  </si>
  <si>
    <t>A1-2</t>
  </si>
  <si>
    <t>A2-1</t>
  </si>
  <si>
    <t>A1-3</t>
  </si>
  <si>
    <t>A2-2</t>
  </si>
  <si>
    <t>A2-3</t>
  </si>
  <si>
    <t>B1-1</t>
  </si>
  <si>
    <t>B1-2</t>
  </si>
  <si>
    <t>B1-3</t>
  </si>
  <si>
    <t>B2-1</t>
  </si>
  <si>
    <t>B2-2</t>
  </si>
  <si>
    <t>B2-3</t>
  </si>
  <si>
    <t>C1-1</t>
  </si>
  <si>
    <t>C1-2</t>
  </si>
  <si>
    <t>C1-3</t>
  </si>
  <si>
    <t>C2-1</t>
  </si>
  <si>
    <t>C2-2</t>
  </si>
  <si>
    <t>C2-3</t>
  </si>
  <si>
    <t>D1-1</t>
  </si>
  <si>
    <t>D2-1</t>
  </si>
  <si>
    <t>D3-1</t>
  </si>
  <si>
    <t>D1-2</t>
  </si>
  <si>
    <t>D2-2</t>
  </si>
  <si>
    <t>D3-2</t>
  </si>
  <si>
    <t>E1-1</t>
  </si>
  <si>
    <t>E1-2</t>
  </si>
  <si>
    <t>E1-3</t>
  </si>
  <si>
    <t>E2-1</t>
  </si>
  <si>
    <t>E2-2</t>
  </si>
  <si>
    <t>E2-3</t>
  </si>
  <si>
    <t>F1-1</t>
  </si>
  <si>
    <t>F1-2</t>
  </si>
  <si>
    <t>F1-3</t>
  </si>
  <si>
    <t>F2-1</t>
  </si>
  <si>
    <t>F2-2</t>
  </si>
  <si>
    <t>F2-3</t>
  </si>
  <si>
    <t>G1-1</t>
  </si>
  <si>
    <t>G1-2</t>
  </si>
  <si>
    <t>G1-3</t>
  </si>
  <si>
    <t>G2-1</t>
  </si>
  <si>
    <t>G2-2</t>
  </si>
  <si>
    <t>G2-3</t>
  </si>
  <si>
    <t>H1-1</t>
  </si>
  <si>
    <t>H1-2</t>
  </si>
  <si>
    <t>H1-3</t>
  </si>
  <si>
    <t>H2-1</t>
  </si>
  <si>
    <t>H2-2</t>
  </si>
  <si>
    <t>H2-3</t>
  </si>
  <si>
    <t>ID_old</t>
  </si>
  <si>
    <t>ID</t>
  </si>
  <si>
    <t>Glioma</t>
  </si>
  <si>
    <t>Healthy</t>
  </si>
  <si>
    <t>Treatment</t>
  </si>
  <si>
    <t>Cell_state</t>
  </si>
  <si>
    <t>No_cells</t>
  </si>
  <si>
    <t>Replicate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</si>
</sst>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66" formatCode="0.000"/>
    <numFmt numFmtId="167" formatCode="0.000000"/>
  </numFmts>
  <fonts count="1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name val="Arial Unicode MS"/>
      <family val="2"/>
    </font>
    <font>
      <b/>
      <u val="double"/>
      <sz val="10"/>
      <name val="Arial Unicode MS"/>
      <family val="2"/>
    </font>
    <font>
      <b/>
      <sz val="10"/>
      <name val="Arial Unicode MS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sz val="8"/>
      <name val="Aptos Narrow"/>
      <family val="2"/>
      <scheme val="minor"/>
    </font>
    <font>
      <sz val="12"/>
      <color rgb="FFFF0000"/>
      <name val="Aptos Narrow (Body)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43" fontId="0" fillId="0" borderId="0" xfId="1" applyFont="1"/>
    <xf numFmtId="44" fontId="0" fillId="0" borderId="0" xfId="2" applyFont="1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5" borderId="0" xfId="0" applyFont="1" applyFill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0" fillId="0" borderId="2" xfId="0" applyBorder="1"/>
    <xf numFmtId="0" fontId="3" fillId="0" borderId="2" xfId="0" quotePrefix="1" applyFont="1" applyBorder="1"/>
    <xf numFmtId="165" fontId="4" fillId="6" borderId="2" xfId="0" applyNumberFormat="1" applyFont="1" applyFill="1" applyBorder="1"/>
    <xf numFmtId="0" fontId="4" fillId="6" borderId="3" xfId="0" applyFont="1" applyFill="1" applyBorder="1"/>
    <xf numFmtId="0" fontId="0" fillId="0" borderId="4" xfId="0" applyBorder="1"/>
    <xf numFmtId="0" fontId="3" fillId="0" borderId="5" xfId="0" applyFont="1" applyBorder="1"/>
    <xf numFmtId="0" fontId="0" fillId="5" borderId="5" xfId="0" applyFill="1" applyBorder="1"/>
    <xf numFmtId="0" fontId="0" fillId="0" borderId="5" xfId="0" applyBorder="1"/>
    <xf numFmtId="0" fontId="0" fillId="0" borderId="6" xfId="0" applyBorder="1"/>
    <xf numFmtId="0" fontId="3" fillId="7" borderId="0" xfId="0" applyFont="1" applyFill="1" applyAlignment="1">
      <alignment horizontal="center" vertical="center"/>
    </xf>
    <xf numFmtId="0" fontId="0" fillId="8" borderId="0" xfId="0" applyFill="1"/>
    <xf numFmtId="0" fontId="0" fillId="9" borderId="0" xfId="0" applyFill="1"/>
    <xf numFmtId="165" fontId="4" fillId="0" borderId="2" xfId="0" applyNumberFormat="1" applyFont="1" applyBorder="1"/>
    <xf numFmtId="0" fontId="4" fillId="0" borderId="3" xfId="0" applyFont="1" applyBorder="1"/>
    <xf numFmtId="0" fontId="5" fillId="6" borderId="1" xfId="0" applyFont="1" applyFill="1" applyBorder="1"/>
    <xf numFmtId="0" fontId="0" fillId="10" borderId="5" xfId="0" applyFill="1" applyBorder="1"/>
    <xf numFmtId="0" fontId="6" fillId="0" borderId="7" xfId="0" applyFont="1" applyBorder="1" applyAlignment="1">
      <alignment horizontal="center"/>
    </xf>
    <xf numFmtId="166" fontId="6" fillId="0" borderId="7" xfId="0" applyNumberFormat="1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9" fillId="4" borderId="7" xfId="0" applyFont="1" applyFill="1" applyBorder="1" applyAlignment="1">
      <alignment horizontal="center"/>
    </xf>
    <xf numFmtId="166" fontId="6" fillId="4" borderId="7" xfId="0" applyNumberFormat="1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167" fontId="7" fillId="0" borderId="8" xfId="0" applyNumberFormat="1" applyFont="1" applyBorder="1" applyAlignment="1">
      <alignment horizontal="center"/>
    </xf>
    <xf numFmtId="167" fontId="7" fillId="4" borderId="7" xfId="0" applyNumberFormat="1" applyFont="1" applyFill="1" applyBorder="1" applyAlignment="1">
      <alignment horizontal="center"/>
    </xf>
    <xf numFmtId="165" fontId="0" fillId="0" borderId="0" xfId="0" applyNumberFormat="1"/>
    <xf numFmtId="0" fontId="13" fillId="0" borderId="0" xfId="0" applyFont="1"/>
    <xf numFmtId="0" fontId="14" fillId="0" borderId="0" xfId="0" applyFont="1"/>
    <xf numFmtId="0" fontId="13" fillId="11" borderId="0" xfId="0" applyFont="1" applyFill="1"/>
    <xf numFmtId="9" fontId="13" fillId="0" borderId="0" xfId="3" applyFont="1"/>
    <xf numFmtId="0" fontId="14" fillId="11" borderId="0" xfId="0" applyFont="1" applyFill="1"/>
    <xf numFmtId="0" fontId="13" fillId="12" borderId="0" xfId="0" applyFont="1" applyFill="1"/>
    <xf numFmtId="0" fontId="14" fillId="12" borderId="0" xfId="0" applyFont="1" applyFill="1"/>
    <xf numFmtId="0" fontId="13" fillId="2" borderId="0" xfId="0" applyFont="1" applyFill="1"/>
    <xf numFmtId="0" fontId="14" fillId="2" borderId="0" xfId="0" applyFont="1" applyFill="1"/>
    <xf numFmtId="9" fontId="13" fillId="2" borderId="0" xfId="3" applyFont="1" applyFill="1"/>
    <xf numFmtId="0" fontId="0" fillId="0" borderId="7" xfId="0" applyBorder="1"/>
    <xf numFmtId="0" fontId="0" fillId="2" borderId="7" xfId="0" applyFill="1" applyBorder="1"/>
    <xf numFmtId="0" fontId="0" fillId="3" borderId="7" xfId="0" applyFill="1" applyBorder="1"/>
    <xf numFmtId="0" fontId="0" fillId="13" borderId="7" xfId="0" applyFill="1" applyBorder="1"/>
    <xf numFmtId="0" fontId="0" fillId="14" borderId="7" xfId="0" applyFill="1" applyBorder="1"/>
    <xf numFmtId="0" fontId="0" fillId="15" borderId="7" xfId="0" applyFill="1" applyBorder="1"/>
    <xf numFmtId="0" fontId="0" fillId="7" borderId="7" xfId="0" applyFill="1" applyBorder="1"/>
    <xf numFmtId="0" fontId="0" fillId="5" borderId="7" xfId="0" applyFill="1" applyBorder="1"/>
    <xf numFmtId="0" fontId="12" fillId="16" borderId="7" xfId="0" applyFont="1" applyFill="1" applyBorder="1"/>
    <xf numFmtId="0" fontId="11" fillId="0" borderId="7" xfId="0" applyFont="1" applyBorder="1"/>
    <xf numFmtId="0" fontId="0" fillId="0" borderId="9" xfId="0" applyBorder="1"/>
    <xf numFmtId="0" fontId="16" fillId="0" borderId="7" xfId="0" applyFont="1" applyBorder="1"/>
    <xf numFmtId="0" fontId="3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0" fillId="0" borderId="9" xfId="0" applyFill="1" applyBorder="1"/>
  </cellXfs>
  <cellStyles count="4">
    <cellStyle name="Komma" xfId="1" builtinId="3"/>
    <cellStyle name="Prozent" xfId="3" builtinId="5"/>
    <cellStyle name="Standard" xfId="0" builtinId="0"/>
    <cellStyle name="Währung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2947-2A83-2D46-BC97-18079E3A3C68}">
  <dimension ref="B1:X32"/>
  <sheetViews>
    <sheetView zoomScale="89" workbookViewId="0">
      <selection activeCell="H19" sqref="H19"/>
    </sheetView>
  </sheetViews>
  <sheetFormatPr baseColWidth="10" defaultRowHeight="16" x14ac:dyDescent="0.2"/>
  <cols>
    <col min="2" max="2" width="15.33203125" bestFit="1" customWidth="1"/>
    <col min="14" max="14" width="14.1640625" bestFit="1" customWidth="1"/>
    <col min="15" max="15" width="13.33203125" customWidth="1"/>
  </cols>
  <sheetData>
    <row r="1" spans="2:24" x14ac:dyDescent="0.2">
      <c r="C1" t="s">
        <v>80</v>
      </c>
      <c r="F1" t="s">
        <v>81</v>
      </c>
      <c r="I1" t="s">
        <v>83</v>
      </c>
    </row>
    <row r="2" spans="2:24" x14ac:dyDescent="0.2">
      <c r="B2" t="s">
        <v>7</v>
      </c>
      <c r="C2" t="s">
        <v>8</v>
      </c>
      <c r="D2" t="s">
        <v>9</v>
      </c>
      <c r="E2" t="s">
        <v>10</v>
      </c>
      <c r="F2" t="s">
        <v>32</v>
      </c>
      <c r="G2" t="s">
        <v>40</v>
      </c>
      <c r="H2" t="s">
        <v>48</v>
      </c>
      <c r="I2">
        <v>6</v>
      </c>
      <c r="M2">
        <v>1</v>
      </c>
      <c r="N2">
        <v>2</v>
      </c>
      <c r="O2">
        <v>3</v>
      </c>
      <c r="P2">
        <v>4</v>
      </c>
      <c r="Q2">
        <v>5</v>
      </c>
      <c r="R2">
        <v>6</v>
      </c>
      <c r="S2">
        <v>7</v>
      </c>
      <c r="T2">
        <v>8</v>
      </c>
      <c r="U2">
        <v>9</v>
      </c>
      <c r="V2">
        <v>10</v>
      </c>
      <c r="W2">
        <v>11</v>
      </c>
      <c r="X2">
        <v>12</v>
      </c>
    </row>
    <row r="3" spans="2:24" x14ac:dyDescent="0.2">
      <c r="B3" t="s">
        <v>1</v>
      </c>
      <c r="C3" t="s">
        <v>11</v>
      </c>
      <c r="D3" t="s">
        <v>12</v>
      </c>
      <c r="E3" t="s">
        <v>13</v>
      </c>
      <c r="F3" t="s">
        <v>33</v>
      </c>
      <c r="G3" t="s">
        <v>41</v>
      </c>
      <c r="H3" t="s">
        <v>49</v>
      </c>
      <c r="I3">
        <v>6</v>
      </c>
      <c r="L3" t="s">
        <v>87</v>
      </c>
      <c r="M3" t="s">
        <v>7</v>
      </c>
    </row>
    <row r="4" spans="2:24" x14ac:dyDescent="0.2">
      <c r="B4" t="s">
        <v>0</v>
      </c>
      <c r="C4" t="s">
        <v>14</v>
      </c>
      <c r="D4" t="s">
        <v>15</v>
      </c>
      <c r="E4" t="s">
        <v>16</v>
      </c>
      <c r="F4" t="s">
        <v>34</v>
      </c>
      <c r="G4" t="s">
        <v>42</v>
      </c>
      <c r="H4" t="s">
        <v>50</v>
      </c>
      <c r="I4">
        <v>6</v>
      </c>
      <c r="L4" t="s">
        <v>88</v>
      </c>
      <c r="M4" t="s">
        <v>1</v>
      </c>
    </row>
    <row r="5" spans="2:24" x14ac:dyDescent="0.2">
      <c r="B5" t="s">
        <v>2</v>
      </c>
      <c r="C5" t="s">
        <v>17</v>
      </c>
      <c r="D5" t="s">
        <v>18</v>
      </c>
      <c r="E5" t="s">
        <v>19</v>
      </c>
      <c r="F5" t="s">
        <v>35</v>
      </c>
      <c r="G5" t="s">
        <v>43</v>
      </c>
      <c r="H5" t="s">
        <v>51</v>
      </c>
      <c r="I5">
        <v>6</v>
      </c>
      <c r="L5" t="s">
        <v>89</v>
      </c>
      <c r="M5" t="s">
        <v>0</v>
      </c>
    </row>
    <row r="6" spans="2:24" x14ac:dyDescent="0.2">
      <c r="B6" t="s">
        <v>3</v>
      </c>
      <c r="C6" t="s">
        <v>20</v>
      </c>
      <c r="D6" t="s">
        <v>21</v>
      </c>
      <c r="E6" t="s">
        <v>22</v>
      </c>
      <c r="F6" t="s">
        <v>36</v>
      </c>
      <c r="G6" t="s">
        <v>44</v>
      </c>
      <c r="H6" t="s">
        <v>52</v>
      </c>
      <c r="I6">
        <v>6</v>
      </c>
      <c r="L6" t="s">
        <v>90</v>
      </c>
      <c r="M6" t="s">
        <v>2</v>
      </c>
    </row>
    <row r="7" spans="2:24" x14ac:dyDescent="0.2">
      <c r="B7" t="s">
        <v>4</v>
      </c>
      <c r="C7" t="s">
        <v>23</v>
      </c>
      <c r="D7" t="s">
        <v>24</v>
      </c>
      <c r="E7" t="s">
        <v>25</v>
      </c>
      <c r="F7" t="s">
        <v>37</v>
      </c>
      <c r="G7" t="s">
        <v>45</v>
      </c>
      <c r="H7" t="s">
        <v>53</v>
      </c>
      <c r="I7">
        <v>6</v>
      </c>
      <c r="L7" t="s">
        <v>91</v>
      </c>
      <c r="M7" t="s">
        <v>3</v>
      </c>
    </row>
    <row r="8" spans="2:24" x14ac:dyDescent="0.2">
      <c r="B8" t="s">
        <v>5</v>
      </c>
      <c r="C8" t="s">
        <v>26</v>
      </c>
      <c r="D8" t="s">
        <v>27</v>
      </c>
      <c r="E8" t="s">
        <v>28</v>
      </c>
      <c r="F8" t="s">
        <v>38</v>
      </c>
      <c r="G8" t="s">
        <v>46</v>
      </c>
      <c r="H8" t="s">
        <v>54</v>
      </c>
      <c r="I8">
        <v>6</v>
      </c>
      <c r="L8" t="s">
        <v>92</v>
      </c>
      <c r="M8" t="s">
        <v>4</v>
      </c>
    </row>
    <row r="9" spans="2:24" x14ac:dyDescent="0.2">
      <c r="B9" t="s">
        <v>6</v>
      </c>
      <c r="C9" t="s">
        <v>29</v>
      </c>
      <c r="D9" t="s">
        <v>30</v>
      </c>
      <c r="E9" t="s">
        <v>31</v>
      </c>
      <c r="F9" t="s">
        <v>39</v>
      </c>
      <c r="G9" t="s">
        <v>47</v>
      </c>
      <c r="H9" t="s">
        <v>55</v>
      </c>
      <c r="I9">
        <v>6</v>
      </c>
      <c r="L9" t="s">
        <v>93</v>
      </c>
      <c r="M9" t="s">
        <v>5</v>
      </c>
    </row>
    <row r="10" spans="2:24" x14ac:dyDescent="0.2">
      <c r="I10">
        <f>SUM(I2:I9)</f>
        <v>48</v>
      </c>
      <c r="L10" t="s">
        <v>94</v>
      </c>
      <c r="M10" t="s">
        <v>6</v>
      </c>
    </row>
    <row r="13" spans="2:24" x14ac:dyDescent="0.2">
      <c r="C13" t="s">
        <v>82</v>
      </c>
      <c r="F13" t="s">
        <v>83</v>
      </c>
    </row>
    <row r="14" spans="2:24" x14ac:dyDescent="0.2">
      <c r="B14" t="s">
        <v>7</v>
      </c>
      <c r="C14" s="1" t="s">
        <v>56</v>
      </c>
      <c r="D14" s="1" t="s">
        <v>57</v>
      </c>
      <c r="E14" s="1" t="s">
        <v>72</v>
      </c>
      <c r="F14">
        <v>3</v>
      </c>
    </row>
    <row r="15" spans="2:24" x14ac:dyDescent="0.2">
      <c r="B15" t="s">
        <v>1</v>
      </c>
      <c r="C15" s="1" t="s">
        <v>58</v>
      </c>
      <c r="D15" s="1" t="s">
        <v>65</v>
      </c>
      <c r="E15" s="1" t="s">
        <v>73</v>
      </c>
      <c r="F15">
        <v>3</v>
      </c>
    </row>
    <row r="16" spans="2:24" x14ac:dyDescent="0.2">
      <c r="B16" t="s">
        <v>0</v>
      </c>
      <c r="C16" s="1" t="s">
        <v>59</v>
      </c>
      <c r="D16" s="1" t="s">
        <v>66</v>
      </c>
      <c r="E16" s="1" t="s">
        <v>74</v>
      </c>
      <c r="F16">
        <v>3</v>
      </c>
      <c r="N16" s="2">
        <v>5500000</v>
      </c>
      <c r="O16" s="3"/>
    </row>
    <row r="17" spans="2:15" x14ac:dyDescent="0.2">
      <c r="B17" t="s">
        <v>2</v>
      </c>
      <c r="C17" s="1" t="s">
        <v>60</v>
      </c>
      <c r="D17" s="1" t="s">
        <v>67</v>
      </c>
      <c r="E17" s="1" t="s">
        <v>75</v>
      </c>
      <c r="F17">
        <v>3</v>
      </c>
      <c r="N17" s="4">
        <f>N16/100</f>
        <v>55000</v>
      </c>
    </row>
    <row r="18" spans="2:15" x14ac:dyDescent="0.2">
      <c r="B18" t="s">
        <v>3</v>
      </c>
      <c r="C18" s="1" t="s">
        <v>61</v>
      </c>
      <c r="D18" s="1" t="s">
        <v>68</v>
      </c>
      <c r="E18" s="1" t="s">
        <v>76</v>
      </c>
      <c r="F18">
        <v>3</v>
      </c>
    </row>
    <row r="19" spans="2:15" x14ac:dyDescent="0.2">
      <c r="B19" t="s">
        <v>4</v>
      </c>
      <c r="C19" s="1" t="s">
        <v>62</v>
      </c>
      <c r="D19" s="1" t="s">
        <v>69</v>
      </c>
      <c r="E19" s="1" t="s">
        <v>77</v>
      </c>
      <c r="F19">
        <v>3</v>
      </c>
      <c r="N19" s="4">
        <f>N16*0.1</f>
        <v>550000</v>
      </c>
    </row>
    <row r="20" spans="2:15" x14ac:dyDescent="0.2">
      <c r="B20" t="s">
        <v>5</v>
      </c>
      <c r="C20" s="1" t="s">
        <v>63</v>
      </c>
      <c r="D20" s="1" t="s">
        <v>70</v>
      </c>
      <c r="E20" s="1" t="s">
        <v>78</v>
      </c>
      <c r="F20">
        <v>3</v>
      </c>
      <c r="N20" s="4">
        <f>N19/100</f>
        <v>5500</v>
      </c>
    </row>
    <row r="21" spans="2:15" x14ac:dyDescent="0.2">
      <c r="B21" t="s">
        <v>6</v>
      </c>
      <c r="C21" s="1" t="s">
        <v>64</v>
      </c>
      <c r="D21" s="1" t="s">
        <v>71</v>
      </c>
      <c r="E21" s="1" t="s">
        <v>79</v>
      </c>
      <c r="F21">
        <v>3</v>
      </c>
    </row>
    <row r="22" spans="2:15" x14ac:dyDescent="0.2">
      <c r="F22">
        <f>SUM(F14:F21)</f>
        <v>24</v>
      </c>
    </row>
    <row r="23" spans="2:15" x14ac:dyDescent="0.2">
      <c r="N23">
        <f>0.55/2.5</f>
        <v>0.22000000000000003</v>
      </c>
      <c r="O23" t="s">
        <v>95</v>
      </c>
    </row>
    <row r="24" spans="2:15" x14ac:dyDescent="0.2">
      <c r="B24" t="s">
        <v>84</v>
      </c>
      <c r="O24" s="2">
        <f>100*200</f>
        <v>20000</v>
      </c>
    </row>
    <row r="25" spans="2:15" x14ac:dyDescent="0.2">
      <c r="B25" t="s">
        <v>85</v>
      </c>
    </row>
    <row r="26" spans="2:15" x14ac:dyDescent="0.2">
      <c r="B26" t="s">
        <v>86</v>
      </c>
    </row>
    <row r="32" spans="2:15" x14ac:dyDescent="0.2">
      <c r="B32" s="2">
        <f>24*10*100000</f>
        <v>24000000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F23A-4B87-154F-916E-DD6CB3766B8F}">
  <dimension ref="B2:H81"/>
  <sheetViews>
    <sheetView workbookViewId="0">
      <selection activeCell="C34" sqref="C34:F81"/>
    </sheetView>
  </sheetViews>
  <sheetFormatPr baseColWidth="10" defaultRowHeight="16" x14ac:dyDescent="0.2"/>
  <cols>
    <col min="3" max="3" width="14.6640625" customWidth="1"/>
  </cols>
  <sheetData>
    <row r="2" spans="2:8" x14ac:dyDescent="0.2">
      <c r="D2" t="s">
        <v>129</v>
      </c>
      <c r="F2" t="s">
        <v>130</v>
      </c>
    </row>
    <row r="3" spans="2:8" x14ac:dyDescent="0.2">
      <c r="B3" t="s">
        <v>131</v>
      </c>
      <c r="C3" t="s">
        <v>80</v>
      </c>
      <c r="D3" t="s">
        <v>110</v>
      </c>
      <c r="E3" t="s">
        <v>81</v>
      </c>
    </row>
    <row r="4" spans="2:8" x14ac:dyDescent="0.2">
      <c r="B4" s="48" t="s">
        <v>7</v>
      </c>
      <c r="C4" s="47" t="s">
        <v>8</v>
      </c>
      <c r="D4" s="47">
        <v>4500</v>
      </c>
      <c r="E4" s="47" t="s">
        <v>10</v>
      </c>
      <c r="F4" s="47">
        <v>300</v>
      </c>
    </row>
    <row r="5" spans="2:8" x14ac:dyDescent="0.2">
      <c r="B5" s="48" t="s">
        <v>7</v>
      </c>
      <c r="C5" s="47" t="s">
        <v>9</v>
      </c>
      <c r="D5" s="47">
        <v>5000</v>
      </c>
      <c r="E5" s="47" t="s">
        <v>40</v>
      </c>
      <c r="F5" s="47">
        <v>460</v>
      </c>
    </row>
    <row r="6" spans="2:8" x14ac:dyDescent="0.2">
      <c r="B6" s="48" t="s">
        <v>7</v>
      </c>
      <c r="C6" s="47" t="s">
        <v>32</v>
      </c>
      <c r="D6" s="47">
        <v>5000</v>
      </c>
      <c r="E6" s="47" t="s">
        <v>48</v>
      </c>
      <c r="F6" s="47">
        <v>1000</v>
      </c>
    </row>
    <row r="7" spans="2:8" x14ac:dyDescent="0.2">
      <c r="B7" s="49" t="s">
        <v>1</v>
      </c>
      <c r="C7" s="47" t="s">
        <v>11</v>
      </c>
      <c r="D7" s="47">
        <v>5000</v>
      </c>
      <c r="E7" s="47" t="s">
        <v>33</v>
      </c>
      <c r="F7" s="47">
        <v>600</v>
      </c>
    </row>
    <row r="8" spans="2:8" x14ac:dyDescent="0.2">
      <c r="B8" s="49" t="s">
        <v>1</v>
      </c>
      <c r="C8" s="47" t="s">
        <v>12</v>
      </c>
      <c r="D8" s="47">
        <v>5000</v>
      </c>
      <c r="E8" s="47" t="s">
        <v>41</v>
      </c>
      <c r="F8" s="47">
        <v>800</v>
      </c>
    </row>
    <row r="9" spans="2:8" x14ac:dyDescent="0.2">
      <c r="B9" s="49" t="s">
        <v>1</v>
      </c>
      <c r="C9" s="47" t="s">
        <v>13</v>
      </c>
      <c r="D9" s="47">
        <v>5000</v>
      </c>
      <c r="E9" s="47" t="s">
        <v>49</v>
      </c>
      <c r="F9" s="47">
        <v>1100</v>
      </c>
    </row>
    <row r="10" spans="2:8" x14ac:dyDescent="0.2">
      <c r="B10" s="50" t="s">
        <v>0</v>
      </c>
      <c r="C10" s="47" t="s">
        <v>14</v>
      </c>
      <c r="D10" s="47">
        <v>5000</v>
      </c>
      <c r="E10" s="47" t="s">
        <v>34</v>
      </c>
      <c r="F10" s="47">
        <v>200</v>
      </c>
    </row>
    <row r="11" spans="2:8" x14ac:dyDescent="0.2">
      <c r="B11" s="50" t="s">
        <v>0</v>
      </c>
      <c r="C11" s="47" t="s">
        <v>15</v>
      </c>
      <c r="D11" s="47">
        <v>5000</v>
      </c>
      <c r="E11" s="47" t="s">
        <v>42</v>
      </c>
      <c r="F11" s="47">
        <v>200</v>
      </c>
    </row>
    <row r="12" spans="2:8" x14ac:dyDescent="0.2">
      <c r="B12" s="50" t="s">
        <v>0</v>
      </c>
      <c r="C12" s="47" t="s">
        <v>16</v>
      </c>
      <c r="D12" s="47">
        <v>5000</v>
      </c>
      <c r="E12" s="47" t="s">
        <v>50</v>
      </c>
      <c r="F12" s="47">
        <v>200</v>
      </c>
    </row>
    <row r="13" spans="2:8" x14ac:dyDescent="0.2">
      <c r="B13" s="52" t="s">
        <v>3</v>
      </c>
      <c r="C13" s="56" t="s">
        <v>17</v>
      </c>
      <c r="D13" s="47">
        <v>5000</v>
      </c>
      <c r="E13" s="47" t="s">
        <v>133</v>
      </c>
      <c r="F13" s="47">
        <v>300</v>
      </c>
    </row>
    <row r="14" spans="2:8" x14ac:dyDescent="0.2">
      <c r="B14" s="52" t="s">
        <v>3</v>
      </c>
      <c r="C14" s="47" t="s">
        <v>132</v>
      </c>
      <c r="D14" s="47">
        <v>5000</v>
      </c>
      <c r="E14" s="47" t="s">
        <v>43</v>
      </c>
      <c r="F14" s="47">
        <v>165</v>
      </c>
      <c r="H14" t="s">
        <v>128</v>
      </c>
    </row>
    <row r="15" spans="2:8" x14ac:dyDescent="0.2">
      <c r="B15" s="52" t="s">
        <v>3</v>
      </c>
      <c r="C15" s="47" t="s">
        <v>134</v>
      </c>
      <c r="D15" s="47">
        <v>5000</v>
      </c>
      <c r="E15" s="47" t="s">
        <v>135</v>
      </c>
      <c r="F15" s="47">
        <v>700</v>
      </c>
    </row>
    <row r="16" spans="2:8" x14ac:dyDescent="0.2">
      <c r="B16" s="53" t="s">
        <v>4</v>
      </c>
      <c r="C16" s="47" t="s">
        <v>20</v>
      </c>
      <c r="D16" s="47">
        <v>3970</v>
      </c>
      <c r="E16" s="47" t="s">
        <v>36</v>
      </c>
      <c r="F16" s="47">
        <v>460</v>
      </c>
    </row>
    <row r="17" spans="2:7" x14ac:dyDescent="0.2">
      <c r="B17" s="53" t="s">
        <v>4</v>
      </c>
      <c r="C17" s="47" t="s">
        <v>21</v>
      </c>
      <c r="D17" s="47">
        <v>2160</v>
      </c>
      <c r="E17" s="47" t="s">
        <v>44</v>
      </c>
      <c r="F17" s="47">
        <v>540</v>
      </c>
    </row>
    <row r="18" spans="2:7" x14ac:dyDescent="0.2">
      <c r="B18" s="53" t="s">
        <v>4</v>
      </c>
      <c r="C18" s="47" t="s">
        <v>22</v>
      </c>
      <c r="D18" s="47">
        <v>2270</v>
      </c>
      <c r="E18" s="47" t="s">
        <v>52</v>
      </c>
      <c r="F18" s="47">
        <v>420</v>
      </c>
    </row>
    <row r="19" spans="2:7" x14ac:dyDescent="0.2">
      <c r="B19" s="54" t="s">
        <v>5</v>
      </c>
      <c r="C19" s="47" t="s">
        <v>23</v>
      </c>
      <c r="D19" s="47">
        <v>2100</v>
      </c>
      <c r="E19" s="47" t="s">
        <v>37</v>
      </c>
      <c r="F19" s="47">
        <v>550</v>
      </c>
      <c r="G19" s="57" t="s">
        <v>136</v>
      </c>
    </row>
    <row r="20" spans="2:7" x14ac:dyDescent="0.2">
      <c r="B20" s="54" t="s">
        <v>5</v>
      </c>
      <c r="C20" s="47" t="s">
        <v>24</v>
      </c>
      <c r="D20" s="47">
        <v>5000</v>
      </c>
      <c r="E20" s="47" t="s">
        <v>45</v>
      </c>
      <c r="F20" s="47">
        <v>920</v>
      </c>
    </row>
    <row r="21" spans="2:7" x14ac:dyDescent="0.2">
      <c r="B21" s="54" t="s">
        <v>5</v>
      </c>
      <c r="C21" s="47" t="s">
        <v>25</v>
      </c>
      <c r="D21" s="47">
        <v>5000</v>
      </c>
      <c r="E21" s="47" t="s">
        <v>53</v>
      </c>
      <c r="F21" s="47">
        <v>1000</v>
      </c>
    </row>
    <row r="22" spans="2:7" x14ac:dyDescent="0.2">
      <c r="B22" s="55" t="s">
        <v>6</v>
      </c>
      <c r="C22" s="47" t="s">
        <v>26</v>
      </c>
      <c r="D22" s="47">
        <v>4300</v>
      </c>
      <c r="E22" s="47" t="s">
        <v>38</v>
      </c>
      <c r="F22" s="47">
        <v>430</v>
      </c>
      <c r="G22" s="57" t="s">
        <v>136</v>
      </c>
    </row>
    <row r="23" spans="2:7" x14ac:dyDescent="0.2">
      <c r="B23" s="55" t="s">
        <v>6</v>
      </c>
      <c r="C23" s="47" t="s">
        <v>27</v>
      </c>
      <c r="D23" s="47">
        <v>41890</v>
      </c>
      <c r="E23" s="47" t="s">
        <v>46</v>
      </c>
      <c r="F23" s="47">
        <v>850</v>
      </c>
    </row>
    <row r="24" spans="2:7" x14ac:dyDescent="0.2">
      <c r="B24" s="55" t="s">
        <v>6</v>
      </c>
      <c r="C24" s="47" t="s">
        <v>28</v>
      </c>
      <c r="D24" s="47">
        <v>5000</v>
      </c>
      <c r="E24" s="47" t="s">
        <v>54</v>
      </c>
      <c r="F24" s="47">
        <v>1000</v>
      </c>
    </row>
    <row r="25" spans="2:7" x14ac:dyDescent="0.2">
      <c r="B25" s="51" t="s">
        <v>2</v>
      </c>
      <c r="C25" s="47" t="s">
        <v>29</v>
      </c>
      <c r="D25" s="47">
        <v>4500</v>
      </c>
      <c r="E25" s="47" t="s">
        <v>39</v>
      </c>
      <c r="F25" s="47">
        <v>1000</v>
      </c>
    </row>
    <row r="26" spans="2:7" x14ac:dyDescent="0.2">
      <c r="B26" s="51" t="s">
        <v>2</v>
      </c>
      <c r="C26" s="47" t="s">
        <v>30</v>
      </c>
      <c r="D26" s="47">
        <v>5000</v>
      </c>
      <c r="E26" s="47" t="s">
        <v>47</v>
      </c>
      <c r="F26" s="47">
        <v>760</v>
      </c>
    </row>
    <row r="27" spans="2:7" x14ac:dyDescent="0.2">
      <c r="B27" s="51" t="s">
        <v>2</v>
      </c>
      <c r="C27" s="47" t="s">
        <v>31</v>
      </c>
      <c r="D27" s="47">
        <v>5000</v>
      </c>
      <c r="E27" s="47" t="s">
        <v>55</v>
      </c>
      <c r="F27" s="47">
        <v>1000</v>
      </c>
    </row>
    <row r="34" spans="3:7" x14ac:dyDescent="0.2">
      <c r="C34" s="47" t="s">
        <v>8</v>
      </c>
      <c r="D34" s="47">
        <v>4500</v>
      </c>
      <c r="E34" s="47">
        <v>4500</v>
      </c>
      <c r="F34" s="47" t="s">
        <v>152</v>
      </c>
      <c r="G34" s="47" t="s">
        <v>137</v>
      </c>
    </row>
    <row r="35" spans="3:7" x14ac:dyDescent="0.2">
      <c r="C35" s="47" t="s">
        <v>9</v>
      </c>
      <c r="D35" s="47">
        <v>5000</v>
      </c>
      <c r="E35" s="47">
        <v>5000</v>
      </c>
      <c r="F35" s="47" t="s">
        <v>153</v>
      </c>
      <c r="G35" s="47" t="s">
        <v>138</v>
      </c>
    </row>
    <row r="36" spans="3:7" x14ac:dyDescent="0.2">
      <c r="C36" s="47" t="s">
        <v>32</v>
      </c>
      <c r="D36" s="47">
        <v>5000</v>
      </c>
      <c r="E36" s="47">
        <v>5000</v>
      </c>
      <c r="F36" s="47" t="s">
        <v>154</v>
      </c>
      <c r="G36" s="47" t="s">
        <v>138</v>
      </c>
    </row>
    <row r="37" spans="3:7" x14ac:dyDescent="0.2">
      <c r="C37" s="47" t="s">
        <v>10</v>
      </c>
      <c r="D37" s="47">
        <v>300</v>
      </c>
      <c r="E37" s="47">
        <v>500</v>
      </c>
      <c r="F37" s="47" t="s">
        <v>155</v>
      </c>
      <c r="G37" s="47" t="s">
        <v>139</v>
      </c>
    </row>
    <row r="38" spans="3:7" x14ac:dyDescent="0.2">
      <c r="C38" s="47" t="s">
        <v>40</v>
      </c>
      <c r="D38" s="47">
        <v>460</v>
      </c>
      <c r="E38" s="47">
        <v>500</v>
      </c>
      <c r="F38" s="47" t="s">
        <v>156</v>
      </c>
      <c r="G38" s="47" t="s">
        <v>139</v>
      </c>
    </row>
    <row r="39" spans="3:7" x14ac:dyDescent="0.2">
      <c r="C39" s="47" t="s">
        <v>48</v>
      </c>
      <c r="D39" s="47">
        <v>1000</v>
      </c>
      <c r="E39" s="47">
        <v>1000</v>
      </c>
      <c r="F39" s="47" t="s">
        <v>157</v>
      </c>
      <c r="G39" s="47" t="s">
        <v>140</v>
      </c>
    </row>
    <row r="40" spans="3:7" x14ac:dyDescent="0.2">
      <c r="C40" s="47" t="s">
        <v>11</v>
      </c>
      <c r="D40" s="47">
        <v>5000</v>
      </c>
      <c r="E40" s="47">
        <v>5000</v>
      </c>
      <c r="F40" s="47" t="s">
        <v>158</v>
      </c>
      <c r="G40" s="47" t="s">
        <v>138</v>
      </c>
    </row>
    <row r="41" spans="3:7" x14ac:dyDescent="0.2">
      <c r="C41" s="47" t="s">
        <v>12</v>
      </c>
      <c r="D41" s="47">
        <v>5000</v>
      </c>
      <c r="E41" s="47">
        <v>5000</v>
      </c>
      <c r="F41" s="47" t="s">
        <v>159</v>
      </c>
      <c r="G41" s="47" t="s">
        <v>138</v>
      </c>
    </row>
    <row r="42" spans="3:7" x14ac:dyDescent="0.2">
      <c r="C42" s="47" t="s">
        <v>13</v>
      </c>
      <c r="D42" s="47">
        <v>5000</v>
      </c>
      <c r="E42" s="47">
        <v>5000</v>
      </c>
      <c r="F42" s="47" t="s">
        <v>160</v>
      </c>
      <c r="G42" s="47" t="s">
        <v>138</v>
      </c>
    </row>
    <row r="43" spans="3:7" x14ac:dyDescent="0.2">
      <c r="C43" s="47" t="s">
        <v>33</v>
      </c>
      <c r="D43" s="47">
        <v>600</v>
      </c>
      <c r="E43" s="47">
        <v>600</v>
      </c>
      <c r="F43" s="47" t="s">
        <v>161</v>
      </c>
      <c r="G43" s="47" t="s">
        <v>141</v>
      </c>
    </row>
    <row r="44" spans="3:7" x14ac:dyDescent="0.2">
      <c r="C44" s="47" t="s">
        <v>41</v>
      </c>
      <c r="D44" s="47">
        <v>800</v>
      </c>
      <c r="E44" s="47">
        <v>800</v>
      </c>
      <c r="F44" s="47" t="s">
        <v>162</v>
      </c>
      <c r="G44" s="47" t="s">
        <v>142</v>
      </c>
    </row>
    <row r="45" spans="3:7" x14ac:dyDescent="0.2">
      <c r="C45" s="47" t="s">
        <v>49</v>
      </c>
      <c r="D45" s="47">
        <v>1100</v>
      </c>
      <c r="E45" s="47">
        <v>1100</v>
      </c>
      <c r="F45" s="47" t="s">
        <v>163</v>
      </c>
      <c r="G45" s="47" t="s">
        <v>143</v>
      </c>
    </row>
    <row r="46" spans="3:7" x14ac:dyDescent="0.2">
      <c r="C46" s="47" t="s">
        <v>14</v>
      </c>
      <c r="D46" s="47">
        <v>5000</v>
      </c>
      <c r="E46" s="47">
        <v>5000</v>
      </c>
      <c r="F46" s="47" t="s">
        <v>164</v>
      </c>
      <c r="G46" s="47" t="s">
        <v>138</v>
      </c>
    </row>
    <row r="47" spans="3:7" x14ac:dyDescent="0.2">
      <c r="C47" s="47" t="s">
        <v>15</v>
      </c>
      <c r="D47" s="47">
        <v>5000</v>
      </c>
      <c r="E47" s="47">
        <v>5000</v>
      </c>
      <c r="F47" s="47" t="s">
        <v>165</v>
      </c>
      <c r="G47" s="47" t="s">
        <v>138</v>
      </c>
    </row>
    <row r="48" spans="3:7" x14ac:dyDescent="0.2">
      <c r="C48" s="47" t="s">
        <v>16</v>
      </c>
      <c r="D48" s="47">
        <v>5000</v>
      </c>
      <c r="E48" s="47">
        <v>5000</v>
      </c>
      <c r="F48" s="47" t="s">
        <v>166</v>
      </c>
      <c r="G48" s="47" t="s">
        <v>138</v>
      </c>
    </row>
    <row r="49" spans="3:7" x14ac:dyDescent="0.2">
      <c r="C49" s="47" t="s">
        <v>34</v>
      </c>
      <c r="D49" s="47">
        <v>200</v>
      </c>
      <c r="E49" s="47">
        <v>500</v>
      </c>
      <c r="F49" s="47" t="s">
        <v>167</v>
      </c>
      <c r="G49" s="47" t="s">
        <v>139</v>
      </c>
    </row>
    <row r="50" spans="3:7" x14ac:dyDescent="0.2">
      <c r="C50" s="47" t="s">
        <v>42</v>
      </c>
      <c r="D50" s="47">
        <v>200</v>
      </c>
      <c r="E50" s="47">
        <v>500</v>
      </c>
      <c r="F50" s="47" t="s">
        <v>168</v>
      </c>
      <c r="G50" s="47" t="s">
        <v>139</v>
      </c>
    </row>
    <row r="51" spans="3:7" x14ac:dyDescent="0.2">
      <c r="C51" s="47" t="s">
        <v>50</v>
      </c>
      <c r="D51" s="47">
        <v>200</v>
      </c>
      <c r="E51" s="47">
        <v>500</v>
      </c>
      <c r="F51" s="47" t="s">
        <v>169</v>
      </c>
      <c r="G51" s="47" t="s">
        <v>139</v>
      </c>
    </row>
    <row r="52" spans="3:7" x14ac:dyDescent="0.2">
      <c r="C52" s="56" t="s">
        <v>17</v>
      </c>
      <c r="D52" s="47">
        <v>5000</v>
      </c>
      <c r="E52" s="47">
        <v>5000</v>
      </c>
      <c r="F52" s="56" t="s">
        <v>170</v>
      </c>
      <c r="G52" s="47" t="s">
        <v>138</v>
      </c>
    </row>
    <row r="53" spans="3:7" x14ac:dyDescent="0.2">
      <c r="C53" s="58" t="s">
        <v>35</v>
      </c>
      <c r="D53" s="47">
        <v>5000</v>
      </c>
      <c r="E53" s="47">
        <v>5000</v>
      </c>
      <c r="F53" s="58" t="s">
        <v>171</v>
      </c>
      <c r="G53" s="47" t="s">
        <v>138</v>
      </c>
    </row>
    <row r="54" spans="3:7" x14ac:dyDescent="0.2">
      <c r="C54" s="58" t="s">
        <v>60</v>
      </c>
      <c r="D54" s="47">
        <v>5000</v>
      </c>
      <c r="E54" s="47">
        <v>5000</v>
      </c>
      <c r="F54" s="58" t="s">
        <v>172</v>
      </c>
      <c r="G54" s="47" t="s">
        <v>138</v>
      </c>
    </row>
    <row r="55" spans="3:7" x14ac:dyDescent="0.2">
      <c r="C55" s="58" t="s">
        <v>18</v>
      </c>
      <c r="D55" s="47">
        <v>300</v>
      </c>
      <c r="E55" s="47">
        <v>500</v>
      </c>
      <c r="F55" s="58" t="s">
        <v>173</v>
      </c>
      <c r="G55" s="47" t="s">
        <v>139</v>
      </c>
    </row>
    <row r="56" spans="3:7" x14ac:dyDescent="0.2">
      <c r="C56" s="47" t="s">
        <v>43</v>
      </c>
      <c r="D56" s="47">
        <v>165</v>
      </c>
      <c r="E56" s="47">
        <v>500</v>
      </c>
      <c r="F56" s="47" t="s">
        <v>174</v>
      </c>
      <c r="G56" s="47" t="s">
        <v>139</v>
      </c>
    </row>
    <row r="57" spans="3:7" x14ac:dyDescent="0.2">
      <c r="C57" s="58" t="s">
        <v>67</v>
      </c>
      <c r="D57" s="47">
        <v>700</v>
      </c>
      <c r="E57" s="47">
        <v>700</v>
      </c>
      <c r="F57" s="58" t="s">
        <v>175</v>
      </c>
      <c r="G57" s="47" t="s">
        <v>144</v>
      </c>
    </row>
    <row r="58" spans="3:7" x14ac:dyDescent="0.2">
      <c r="C58" s="47" t="s">
        <v>20</v>
      </c>
      <c r="D58" s="47">
        <v>3970</v>
      </c>
      <c r="E58" s="47">
        <v>3970</v>
      </c>
      <c r="F58" s="47" t="s">
        <v>176</v>
      </c>
      <c r="G58" s="47" t="s">
        <v>145</v>
      </c>
    </row>
    <row r="59" spans="3:7" x14ac:dyDescent="0.2">
      <c r="C59" s="47" t="s">
        <v>21</v>
      </c>
      <c r="D59" s="47">
        <v>2160</v>
      </c>
      <c r="E59" s="47">
        <v>2160</v>
      </c>
      <c r="F59" s="47" t="s">
        <v>177</v>
      </c>
      <c r="G59" s="47" t="s">
        <v>146</v>
      </c>
    </row>
    <row r="60" spans="3:7" x14ac:dyDescent="0.2">
      <c r="C60" s="47" t="s">
        <v>22</v>
      </c>
      <c r="D60" s="47">
        <v>2270</v>
      </c>
      <c r="E60" s="47">
        <v>2270</v>
      </c>
      <c r="F60" s="47" t="s">
        <v>178</v>
      </c>
      <c r="G60" s="47" t="s">
        <v>146</v>
      </c>
    </row>
    <row r="61" spans="3:7" x14ac:dyDescent="0.2">
      <c r="C61" s="47" t="s">
        <v>36</v>
      </c>
      <c r="D61" s="47">
        <v>460</v>
      </c>
      <c r="E61" s="47">
        <v>500</v>
      </c>
      <c r="F61" s="47" t="s">
        <v>179</v>
      </c>
      <c r="G61" s="47" t="s">
        <v>139</v>
      </c>
    </row>
    <row r="62" spans="3:7" x14ac:dyDescent="0.2">
      <c r="C62" s="47" t="s">
        <v>44</v>
      </c>
      <c r="D62" s="47">
        <v>540</v>
      </c>
      <c r="E62" s="47">
        <v>550</v>
      </c>
      <c r="F62" s="47" t="s">
        <v>180</v>
      </c>
      <c r="G62" s="47" t="s">
        <v>147</v>
      </c>
    </row>
    <row r="63" spans="3:7" x14ac:dyDescent="0.2">
      <c r="C63" s="47" t="s">
        <v>52</v>
      </c>
      <c r="D63" s="47">
        <v>420</v>
      </c>
      <c r="E63" s="47">
        <v>500</v>
      </c>
      <c r="F63" s="47" t="s">
        <v>181</v>
      </c>
      <c r="G63" s="47" t="s">
        <v>139</v>
      </c>
    </row>
    <row r="64" spans="3:7" x14ac:dyDescent="0.2">
      <c r="C64" s="47" t="s">
        <v>23</v>
      </c>
      <c r="D64" s="47">
        <v>2100</v>
      </c>
      <c r="E64" s="47">
        <v>2100</v>
      </c>
      <c r="F64" s="47" t="s">
        <v>182</v>
      </c>
      <c r="G64" s="47" t="s">
        <v>148</v>
      </c>
    </row>
    <row r="65" spans="3:7" x14ac:dyDescent="0.2">
      <c r="C65" s="47" t="s">
        <v>24</v>
      </c>
      <c r="D65" s="47">
        <v>5000</v>
      </c>
      <c r="E65" s="47">
        <v>5000</v>
      </c>
      <c r="F65" s="47" t="s">
        <v>183</v>
      </c>
      <c r="G65" s="47" t="s">
        <v>138</v>
      </c>
    </row>
    <row r="66" spans="3:7" x14ac:dyDescent="0.2">
      <c r="C66" s="47" t="s">
        <v>25</v>
      </c>
      <c r="D66" s="47">
        <v>5000</v>
      </c>
      <c r="E66" s="47">
        <v>5000</v>
      </c>
      <c r="F66" s="47" t="s">
        <v>184</v>
      </c>
      <c r="G66" s="47" t="s">
        <v>138</v>
      </c>
    </row>
    <row r="67" spans="3:7" x14ac:dyDescent="0.2">
      <c r="C67" s="47" t="s">
        <v>37</v>
      </c>
      <c r="D67" s="47">
        <v>550</v>
      </c>
      <c r="E67" s="47">
        <v>550</v>
      </c>
      <c r="F67" s="47" t="s">
        <v>185</v>
      </c>
      <c r="G67" s="47" t="s">
        <v>147</v>
      </c>
    </row>
    <row r="68" spans="3:7" x14ac:dyDescent="0.2">
      <c r="C68" s="47" t="s">
        <v>45</v>
      </c>
      <c r="D68" s="47">
        <v>920</v>
      </c>
      <c r="E68" s="47">
        <v>900</v>
      </c>
      <c r="F68" s="47" t="s">
        <v>186</v>
      </c>
      <c r="G68" s="47" t="s">
        <v>149</v>
      </c>
    </row>
    <row r="69" spans="3:7" x14ac:dyDescent="0.2">
      <c r="C69" s="47" t="s">
        <v>53</v>
      </c>
      <c r="D69" s="47">
        <v>1000</v>
      </c>
      <c r="E69" s="47">
        <v>1000</v>
      </c>
      <c r="F69" s="47" t="s">
        <v>187</v>
      </c>
      <c r="G69" s="47" t="s">
        <v>140</v>
      </c>
    </row>
    <row r="70" spans="3:7" x14ac:dyDescent="0.2">
      <c r="C70" s="47" t="s">
        <v>26</v>
      </c>
      <c r="D70" s="47">
        <v>4300</v>
      </c>
      <c r="E70" s="47">
        <v>4300</v>
      </c>
      <c r="F70" s="47" t="s">
        <v>188</v>
      </c>
      <c r="G70" s="47" t="s">
        <v>150</v>
      </c>
    </row>
    <row r="71" spans="3:7" x14ac:dyDescent="0.2">
      <c r="C71" s="47" t="s">
        <v>27</v>
      </c>
      <c r="D71" s="47">
        <v>4180</v>
      </c>
      <c r="E71" s="47">
        <v>4180</v>
      </c>
      <c r="F71" s="47" t="s">
        <v>189</v>
      </c>
      <c r="G71" s="47" t="s">
        <v>137</v>
      </c>
    </row>
    <row r="72" spans="3:7" x14ac:dyDescent="0.2">
      <c r="C72" s="47" t="s">
        <v>28</v>
      </c>
      <c r="D72" s="47">
        <v>5000</v>
      </c>
      <c r="E72" s="47">
        <v>5000</v>
      </c>
      <c r="F72" s="47" t="s">
        <v>190</v>
      </c>
      <c r="G72" s="47" t="s">
        <v>138</v>
      </c>
    </row>
    <row r="73" spans="3:7" x14ac:dyDescent="0.2">
      <c r="C73" s="47" t="s">
        <v>38</v>
      </c>
      <c r="D73" s="47">
        <v>430</v>
      </c>
      <c r="E73" s="47">
        <v>500</v>
      </c>
      <c r="F73" s="47" t="s">
        <v>191</v>
      </c>
      <c r="G73" s="47" t="s">
        <v>139</v>
      </c>
    </row>
    <row r="74" spans="3:7" x14ac:dyDescent="0.2">
      <c r="C74" s="47" t="s">
        <v>46</v>
      </c>
      <c r="D74" s="47">
        <v>850</v>
      </c>
      <c r="E74" s="47">
        <v>850</v>
      </c>
      <c r="F74" s="47" t="s">
        <v>192</v>
      </c>
      <c r="G74" s="47" t="s">
        <v>151</v>
      </c>
    </row>
    <row r="75" spans="3:7" x14ac:dyDescent="0.2">
      <c r="C75" s="47" t="s">
        <v>54</v>
      </c>
      <c r="D75" s="47">
        <v>1000</v>
      </c>
      <c r="E75" s="47">
        <v>1000</v>
      </c>
      <c r="F75" s="47" t="s">
        <v>193</v>
      </c>
      <c r="G75" s="47" t="s">
        <v>140</v>
      </c>
    </row>
    <row r="76" spans="3:7" x14ac:dyDescent="0.2">
      <c r="C76" s="47" t="s">
        <v>29</v>
      </c>
      <c r="D76" s="47">
        <v>4500</v>
      </c>
      <c r="E76" s="47">
        <v>4500</v>
      </c>
      <c r="F76" s="47" t="s">
        <v>194</v>
      </c>
      <c r="G76" s="47" t="s">
        <v>137</v>
      </c>
    </row>
    <row r="77" spans="3:7" x14ac:dyDescent="0.2">
      <c r="C77" s="47" t="s">
        <v>30</v>
      </c>
      <c r="D77" s="47">
        <v>5000</v>
      </c>
      <c r="E77" s="47">
        <v>5000</v>
      </c>
      <c r="F77" s="47" t="s">
        <v>195</v>
      </c>
      <c r="G77" s="47" t="s">
        <v>138</v>
      </c>
    </row>
    <row r="78" spans="3:7" x14ac:dyDescent="0.2">
      <c r="C78" s="47" t="s">
        <v>31</v>
      </c>
      <c r="D78" s="47">
        <v>5000</v>
      </c>
      <c r="E78" s="47">
        <v>5000</v>
      </c>
      <c r="F78" s="47" t="s">
        <v>196</v>
      </c>
      <c r="G78" s="47" t="s">
        <v>138</v>
      </c>
    </row>
    <row r="79" spans="3:7" x14ac:dyDescent="0.2">
      <c r="C79" s="47" t="s">
        <v>39</v>
      </c>
      <c r="D79" s="47">
        <v>1000</v>
      </c>
      <c r="E79" s="47">
        <v>1000</v>
      </c>
      <c r="F79" s="47" t="s">
        <v>197</v>
      </c>
      <c r="G79" s="47" t="s">
        <v>140</v>
      </c>
    </row>
    <row r="80" spans="3:7" x14ac:dyDescent="0.2">
      <c r="C80" s="47" t="s">
        <v>47</v>
      </c>
      <c r="D80" s="47">
        <v>760</v>
      </c>
      <c r="E80" s="47">
        <v>800</v>
      </c>
      <c r="F80" s="47" t="s">
        <v>198</v>
      </c>
      <c r="G80" s="47" t="s">
        <v>142</v>
      </c>
    </row>
    <row r="81" spans="3:7" x14ac:dyDescent="0.2">
      <c r="C81" s="47" t="s">
        <v>55</v>
      </c>
      <c r="D81" s="47">
        <v>1000</v>
      </c>
      <c r="E81" s="47">
        <v>1000</v>
      </c>
      <c r="F81" s="47" t="s">
        <v>199</v>
      </c>
      <c r="G81" s="47" t="s">
        <v>140</v>
      </c>
    </row>
  </sheetData>
  <conditionalFormatting sqref="D34:D81">
    <cfRule type="colorScale" priority="3">
      <colorScale>
        <cfvo type="min"/>
        <cfvo type="max"/>
        <color rgb="FFF8696B"/>
        <color rgb="FFFCFCFF"/>
      </colorScale>
    </cfRule>
  </conditionalFormatting>
  <conditionalFormatting sqref="E34:E81">
    <cfRule type="colorScale" priority="2">
      <colorScale>
        <cfvo type="min"/>
        <cfvo type="max"/>
        <color rgb="FFF8696B"/>
        <color rgb="FFFCFCFF"/>
      </colorScale>
    </cfRule>
  </conditionalFormatting>
  <conditionalFormatting sqref="G34:G81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81DB7-938E-544E-8D68-D4C98976ADDD}">
  <dimension ref="A1:F49"/>
  <sheetViews>
    <sheetView tabSelected="1" workbookViewId="0">
      <selection activeCell="E5" sqref="E5"/>
    </sheetView>
  </sheetViews>
  <sheetFormatPr baseColWidth="10" defaultRowHeight="16" x14ac:dyDescent="0.2"/>
  <sheetData>
    <row r="1" spans="1:6" x14ac:dyDescent="0.2">
      <c r="A1" s="47" t="s">
        <v>205</v>
      </c>
      <c r="B1" s="47" t="s">
        <v>204</v>
      </c>
      <c r="C1" s="47" t="s">
        <v>200</v>
      </c>
      <c r="D1" s="47" t="s">
        <v>206</v>
      </c>
      <c r="E1" s="47" t="s">
        <v>201</v>
      </c>
      <c r="F1" s="47" t="s">
        <v>207</v>
      </c>
    </row>
    <row r="2" spans="1:6" x14ac:dyDescent="0.2">
      <c r="A2" s="47" t="s">
        <v>203</v>
      </c>
      <c r="B2" s="48" t="s">
        <v>7</v>
      </c>
      <c r="C2" s="47" t="s">
        <v>8</v>
      </c>
      <c r="D2" s="47">
        <v>4500</v>
      </c>
      <c r="E2" s="47" t="s">
        <v>152</v>
      </c>
      <c r="F2" s="47">
        <v>1</v>
      </c>
    </row>
    <row r="3" spans="1:6" x14ac:dyDescent="0.2">
      <c r="A3" s="47" t="s">
        <v>203</v>
      </c>
      <c r="B3" s="48" t="s">
        <v>7</v>
      </c>
      <c r="C3" s="47" t="s">
        <v>9</v>
      </c>
      <c r="D3" s="47">
        <v>5000</v>
      </c>
      <c r="E3" s="47" t="s">
        <v>153</v>
      </c>
      <c r="F3" s="47">
        <v>2</v>
      </c>
    </row>
    <row r="4" spans="1:6" x14ac:dyDescent="0.2">
      <c r="A4" s="47" t="s">
        <v>203</v>
      </c>
      <c r="B4" s="48" t="s">
        <v>7</v>
      </c>
      <c r="C4" s="47" t="s">
        <v>32</v>
      </c>
      <c r="D4" s="47">
        <v>5000</v>
      </c>
      <c r="E4" s="61" t="s">
        <v>155</v>
      </c>
      <c r="F4" s="47">
        <v>3</v>
      </c>
    </row>
    <row r="5" spans="1:6" x14ac:dyDescent="0.2">
      <c r="A5" s="47" t="s">
        <v>202</v>
      </c>
      <c r="B5" s="48" t="s">
        <v>7</v>
      </c>
      <c r="C5" s="47" t="s">
        <v>10</v>
      </c>
      <c r="D5" s="47">
        <v>500</v>
      </c>
      <c r="E5" s="47" t="s">
        <v>154</v>
      </c>
      <c r="F5" s="47">
        <v>1</v>
      </c>
    </row>
    <row r="6" spans="1:6" x14ac:dyDescent="0.2">
      <c r="A6" s="47" t="s">
        <v>202</v>
      </c>
      <c r="B6" s="48" t="s">
        <v>7</v>
      </c>
      <c r="C6" s="47" t="s">
        <v>40</v>
      </c>
      <c r="D6" s="47">
        <v>500</v>
      </c>
      <c r="E6" s="47" t="s">
        <v>156</v>
      </c>
      <c r="F6" s="47">
        <v>2</v>
      </c>
    </row>
    <row r="7" spans="1:6" x14ac:dyDescent="0.2">
      <c r="A7" s="47" t="s">
        <v>202</v>
      </c>
      <c r="B7" s="48" t="s">
        <v>7</v>
      </c>
      <c r="C7" s="47" t="s">
        <v>48</v>
      </c>
      <c r="D7" s="47">
        <v>1000</v>
      </c>
      <c r="E7" s="47" t="s">
        <v>157</v>
      </c>
      <c r="F7" s="47">
        <v>3</v>
      </c>
    </row>
    <row r="8" spans="1:6" x14ac:dyDescent="0.2">
      <c r="A8" s="47" t="s">
        <v>203</v>
      </c>
      <c r="B8" s="49" t="s">
        <v>1</v>
      </c>
      <c r="C8" s="47" t="s">
        <v>11</v>
      </c>
      <c r="D8" s="47">
        <v>5000</v>
      </c>
      <c r="E8" s="47" t="s">
        <v>158</v>
      </c>
      <c r="F8" s="47">
        <v>1</v>
      </c>
    </row>
    <row r="9" spans="1:6" x14ac:dyDescent="0.2">
      <c r="A9" s="47" t="s">
        <v>203</v>
      </c>
      <c r="B9" s="49" t="s">
        <v>1</v>
      </c>
      <c r="C9" s="47" t="s">
        <v>12</v>
      </c>
      <c r="D9" s="47">
        <v>5000</v>
      </c>
      <c r="E9" s="47" t="s">
        <v>159</v>
      </c>
      <c r="F9" s="47">
        <v>2</v>
      </c>
    </row>
    <row r="10" spans="1:6" x14ac:dyDescent="0.2">
      <c r="A10" s="47" t="s">
        <v>203</v>
      </c>
      <c r="B10" s="49" t="s">
        <v>1</v>
      </c>
      <c r="C10" s="47" t="s">
        <v>13</v>
      </c>
      <c r="D10" s="47">
        <v>5000</v>
      </c>
      <c r="E10" s="47" t="s">
        <v>160</v>
      </c>
      <c r="F10" s="47">
        <v>3</v>
      </c>
    </row>
    <row r="11" spans="1:6" x14ac:dyDescent="0.2">
      <c r="A11" s="47" t="s">
        <v>202</v>
      </c>
      <c r="B11" s="49" t="s">
        <v>1</v>
      </c>
      <c r="C11" s="47" t="s">
        <v>33</v>
      </c>
      <c r="D11" s="47">
        <v>600</v>
      </c>
      <c r="E11" s="47" t="s">
        <v>161</v>
      </c>
      <c r="F11" s="47">
        <v>1</v>
      </c>
    </row>
    <row r="12" spans="1:6" x14ac:dyDescent="0.2">
      <c r="A12" s="47" t="s">
        <v>202</v>
      </c>
      <c r="B12" s="49" t="s">
        <v>1</v>
      </c>
      <c r="C12" s="47" t="s">
        <v>41</v>
      </c>
      <c r="D12" s="47">
        <v>800</v>
      </c>
      <c r="E12" s="47" t="s">
        <v>162</v>
      </c>
      <c r="F12" s="47">
        <v>2</v>
      </c>
    </row>
    <row r="13" spans="1:6" x14ac:dyDescent="0.2">
      <c r="A13" s="47" t="s">
        <v>202</v>
      </c>
      <c r="B13" s="49" t="s">
        <v>1</v>
      </c>
      <c r="C13" s="47" t="s">
        <v>49</v>
      </c>
      <c r="D13" s="47">
        <v>1100</v>
      </c>
      <c r="E13" s="47" t="s">
        <v>163</v>
      </c>
      <c r="F13" s="47">
        <v>3</v>
      </c>
    </row>
    <row r="14" spans="1:6" x14ac:dyDescent="0.2">
      <c r="A14" s="47" t="s">
        <v>203</v>
      </c>
      <c r="B14" s="50" t="s">
        <v>0</v>
      </c>
      <c r="C14" s="47" t="s">
        <v>14</v>
      </c>
      <c r="D14" s="47">
        <v>5000</v>
      </c>
      <c r="E14" s="47" t="s">
        <v>164</v>
      </c>
      <c r="F14" s="47">
        <v>1</v>
      </c>
    </row>
    <row r="15" spans="1:6" x14ac:dyDescent="0.2">
      <c r="A15" s="47" t="s">
        <v>203</v>
      </c>
      <c r="B15" s="50" t="s">
        <v>0</v>
      </c>
      <c r="C15" s="47" t="s">
        <v>15</v>
      </c>
      <c r="D15" s="47">
        <v>5000</v>
      </c>
      <c r="E15" s="47" t="s">
        <v>165</v>
      </c>
      <c r="F15" s="47">
        <v>2</v>
      </c>
    </row>
    <row r="16" spans="1:6" x14ac:dyDescent="0.2">
      <c r="A16" s="47" t="s">
        <v>203</v>
      </c>
      <c r="B16" s="50" t="s">
        <v>0</v>
      </c>
      <c r="C16" s="47" t="s">
        <v>16</v>
      </c>
      <c r="D16" s="47">
        <v>5000</v>
      </c>
      <c r="E16" s="47" t="s">
        <v>166</v>
      </c>
      <c r="F16" s="47">
        <v>3</v>
      </c>
    </row>
    <row r="17" spans="1:6" x14ac:dyDescent="0.2">
      <c r="A17" s="47" t="s">
        <v>202</v>
      </c>
      <c r="B17" s="50" t="s">
        <v>0</v>
      </c>
      <c r="C17" s="47" t="s">
        <v>34</v>
      </c>
      <c r="D17" s="47">
        <v>500</v>
      </c>
      <c r="E17" s="47" t="s">
        <v>167</v>
      </c>
      <c r="F17" s="47">
        <v>1</v>
      </c>
    </row>
    <row r="18" spans="1:6" x14ac:dyDescent="0.2">
      <c r="A18" s="47" t="s">
        <v>202</v>
      </c>
      <c r="B18" s="50" t="s">
        <v>0</v>
      </c>
      <c r="C18" s="47" t="s">
        <v>42</v>
      </c>
      <c r="D18" s="47">
        <v>500</v>
      </c>
      <c r="E18" s="47" t="s">
        <v>168</v>
      </c>
      <c r="F18" s="47">
        <v>2</v>
      </c>
    </row>
    <row r="19" spans="1:6" x14ac:dyDescent="0.2">
      <c r="A19" s="47" t="s">
        <v>202</v>
      </c>
      <c r="B19" s="50" t="s">
        <v>0</v>
      </c>
      <c r="C19" s="47" t="s">
        <v>50</v>
      </c>
      <c r="D19" s="47">
        <v>500</v>
      </c>
      <c r="E19" s="47" t="s">
        <v>169</v>
      </c>
      <c r="F19" s="47">
        <v>3</v>
      </c>
    </row>
    <row r="20" spans="1:6" x14ac:dyDescent="0.2">
      <c r="A20" s="47" t="s">
        <v>203</v>
      </c>
      <c r="B20" s="52" t="s">
        <v>3</v>
      </c>
      <c r="C20" s="56" t="s">
        <v>17</v>
      </c>
      <c r="D20" s="47">
        <v>5000</v>
      </c>
      <c r="E20" s="56" t="s">
        <v>170</v>
      </c>
      <c r="F20" s="47">
        <v>1</v>
      </c>
    </row>
    <row r="21" spans="1:6" x14ac:dyDescent="0.2">
      <c r="A21" s="47" t="s">
        <v>203</v>
      </c>
      <c r="B21" s="52" t="s">
        <v>3</v>
      </c>
      <c r="C21" s="58" t="s">
        <v>35</v>
      </c>
      <c r="D21" s="47">
        <v>5000</v>
      </c>
      <c r="E21" s="58" t="s">
        <v>171</v>
      </c>
      <c r="F21" s="47">
        <v>2</v>
      </c>
    </row>
    <row r="22" spans="1:6" x14ac:dyDescent="0.2">
      <c r="A22" s="47" t="s">
        <v>203</v>
      </c>
      <c r="B22" s="52" t="s">
        <v>3</v>
      </c>
      <c r="C22" s="58" t="s">
        <v>60</v>
      </c>
      <c r="D22" s="47">
        <v>5000</v>
      </c>
      <c r="E22" s="58" t="s">
        <v>172</v>
      </c>
      <c r="F22" s="47">
        <v>3</v>
      </c>
    </row>
    <row r="23" spans="1:6" x14ac:dyDescent="0.2">
      <c r="A23" s="47" t="s">
        <v>202</v>
      </c>
      <c r="B23" s="52" t="s">
        <v>3</v>
      </c>
      <c r="C23" s="58" t="s">
        <v>18</v>
      </c>
      <c r="D23" s="47">
        <v>500</v>
      </c>
      <c r="E23" s="58" t="s">
        <v>173</v>
      </c>
      <c r="F23" s="47">
        <v>1</v>
      </c>
    </row>
    <row r="24" spans="1:6" x14ac:dyDescent="0.2">
      <c r="A24" s="47" t="s">
        <v>202</v>
      </c>
      <c r="B24" s="52" t="s">
        <v>3</v>
      </c>
      <c r="C24" s="47" t="s">
        <v>43</v>
      </c>
      <c r="D24" s="47">
        <v>500</v>
      </c>
      <c r="E24" s="47" t="s">
        <v>174</v>
      </c>
      <c r="F24" s="47">
        <v>2</v>
      </c>
    </row>
    <row r="25" spans="1:6" x14ac:dyDescent="0.2">
      <c r="A25" s="47" t="s">
        <v>202</v>
      </c>
      <c r="B25" s="52" t="s">
        <v>3</v>
      </c>
      <c r="C25" s="58" t="s">
        <v>67</v>
      </c>
      <c r="D25" s="47">
        <v>700</v>
      </c>
      <c r="E25" s="58" t="s">
        <v>175</v>
      </c>
      <c r="F25" s="47">
        <v>3</v>
      </c>
    </row>
    <row r="26" spans="1:6" x14ac:dyDescent="0.2">
      <c r="A26" s="47" t="s">
        <v>203</v>
      </c>
      <c r="B26" s="53" t="s">
        <v>4</v>
      </c>
      <c r="C26" s="47" t="s">
        <v>20</v>
      </c>
      <c r="D26" s="47">
        <v>3970</v>
      </c>
      <c r="E26" s="47" t="s">
        <v>176</v>
      </c>
      <c r="F26" s="47">
        <v>1</v>
      </c>
    </row>
    <row r="27" spans="1:6" x14ac:dyDescent="0.2">
      <c r="A27" s="47" t="s">
        <v>203</v>
      </c>
      <c r="B27" s="53" t="s">
        <v>4</v>
      </c>
      <c r="C27" s="47" t="s">
        <v>21</v>
      </c>
      <c r="D27" s="47">
        <v>2160</v>
      </c>
      <c r="E27" s="47" t="s">
        <v>177</v>
      </c>
      <c r="F27" s="47">
        <v>2</v>
      </c>
    </row>
    <row r="28" spans="1:6" x14ac:dyDescent="0.2">
      <c r="A28" s="47" t="s">
        <v>203</v>
      </c>
      <c r="B28" s="53" t="s">
        <v>4</v>
      </c>
      <c r="C28" s="47" t="s">
        <v>22</v>
      </c>
      <c r="D28" s="47">
        <v>2270</v>
      </c>
      <c r="E28" s="47" t="s">
        <v>178</v>
      </c>
      <c r="F28" s="47">
        <v>3</v>
      </c>
    </row>
    <row r="29" spans="1:6" x14ac:dyDescent="0.2">
      <c r="A29" s="47" t="s">
        <v>202</v>
      </c>
      <c r="B29" s="53" t="s">
        <v>4</v>
      </c>
      <c r="C29" s="47" t="s">
        <v>36</v>
      </c>
      <c r="D29" s="47">
        <v>500</v>
      </c>
      <c r="E29" s="47" t="s">
        <v>179</v>
      </c>
      <c r="F29" s="47">
        <v>1</v>
      </c>
    </row>
    <row r="30" spans="1:6" x14ac:dyDescent="0.2">
      <c r="A30" s="47" t="s">
        <v>202</v>
      </c>
      <c r="B30" s="53" t="s">
        <v>4</v>
      </c>
      <c r="C30" s="47" t="s">
        <v>44</v>
      </c>
      <c r="D30" s="47">
        <v>550</v>
      </c>
      <c r="E30" s="47" t="s">
        <v>180</v>
      </c>
      <c r="F30" s="47">
        <v>2</v>
      </c>
    </row>
    <row r="31" spans="1:6" x14ac:dyDescent="0.2">
      <c r="A31" s="47" t="s">
        <v>202</v>
      </c>
      <c r="B31" s="53" t="s">
        <v>4</v>
      </c>
      <c r="C31" s="47" t="s">
        <v>52</v>
      </c>
      <c r="D31" s="47">
        <v>500</v>
      </c>
      <c r="E31" s="47" t="s">
        <v>181</v>
      </c>
      <c r="F31" s="47">
        <v>3</v>
      </c>
    </row>
    <row r="32" spans="1:6" x14ac:dyDescent="0.2">
      <c r="A32" s="47" t="s">
        <v>203</v>
      </c>
      <c r="B32" s="54" t="s">
        <v>5</v>
      </c>
      <c r="C32" s="47" t="s">
        <v>23</v>
      </c>
      <c r="D32" s="47">
        <v>2100</v>
      </c>
      <c r="E32" s="47" t="s">
        <v>182</v>
      </c>
      <c r="F32" s="47">
        <v>1</v>
      </c>
    </row>
    <row r="33" spans="1:6" x14ac:dyDescent="0.2">
      <c r="A33" s="47" t="s">
        <v>203</v>
      </c>
      <c r="B33" s="54" t="s">
        <v>5</v>
      </c>
      <c r="C33" s="47" t="s">
        <v>24</v>
      </c>
      <c r="D33" s="47">
        <v>5000</v>
      </c>
      <c r="E33" s="47" t="s">
        <v>183</v>
      </c>
      <c r="F33" s="47">
        <v>2</v>
      </c>
    </row>
    <row r="34" spans="1:6" x14ac:dyDescent="0.2">
      <c r="A34" s="47" t="s">
        <v>203</v>
      </c>
      <c r="B34" s="54" t="s">
        <v>5</v>
      </c>
      <c r="C34" s="47" t="s">
        <v>25</v>
      </c>
      <c r="D34" s="47">
        <v>5000</v>
      </c>
      <c r="E34" s="47" t="s">
        <v>184</v>
      </c>
      <c r="F34" s="47">
        <v>3</v>
      </c>
    </row>
    <row r="35" spans="1:6" x14ac:dyDescent="0.2">
      <c r="A35" s="47" t="s">
        <v>202</v>
      </c>
      <c r="B35" s="54" t="s">
        <v>5</v>
      </c>
      <c r="C35" s="47" t="s">
        <v>37</v>
      </c>
      <c r="D35" s="47">
        <v>550</v>
      </c>
      <c r="E35" s="47" t="s">
        <v>185</v>
      </c>
      <c r="F35" s="47">
        <v>1</v>
      </c>
    </row>
    <row r="36" spans="1:6" x14ac:dyDescent="0.2">
      <c r="A36" s="47" t="s">
        <v>202</v>
      </c>
      <c r="B36" s="54" t="s">
        <v>5</v>
      </c>
      <c r="C36" s="47" t="s">
        <v>45</v>
      </c>
      <c r="D36" s="47">
        <v>900</v>
      </c>
      <c r="E36" s="47" t="s">
        <v>186</v>
      </c>
      <c r="F36" s="47">
        <v>2</v>
      </c>
    </row>
    <row r="37" spans="1:6" x14ac:dyDescent="0.2">
      <c r="A37" s="47" t="s">
        <v>202</v>
      </c>
      <c r="B37" s="54" t="s">
        <v>5</v>
      </c>
      <c r="C37" s="47" t="s">
        <v>53</v>
      </c>
      <c r="D37" s="47">
        <v>1000</v>
      </c>
      <c r="E37" s="47" t="s">
        <v>187</v>
      </c>
      <c r="F37" s="47">
        <v>3</v>
      </c>
    </row>
    <row r="38" spans="1:6" x14ac:dyDescent="0.2">
      <c r="A38" s="47" t="s">
        <v>203</v>
      </c>
      <c r="B38" s="55" t="s">
        <v>6</v>
      </c>
      <c r="C38" s="47" t="s">
        <v>26</v>
      </c>
      <c r="D38" s="47">
        <v>4300</v>
      </c>
      <c r="E38" s="47" t="s">
        <v>188</v>
      </c>
      <c r="F38" s="47">
        <v>1</v>
      </c>
    </row>
    <row r="39" spans="1:6" x14ac:dyDescent="0.2">
      <c r="A39" s="47" t="s">
        <v>203</v>
      </c>
      <c r="B39" s="55" t="s">
        <v>6</v>
      </c>
      <c r="C39" s="47" t="s">
        <v>27</v>
      </c>
      <c r="D39" s="47">
        <v>4180</v>
      </c>
      <c r="E39" s="47" t="s">
        <v>189</v>
      </c>
      <c r="F39" s="47">
        <v>2</v>
      </c>
    </row>
    <row r="40" spans="1:6" x14ac:dyDescent="0.2">
      <c r="A40" s="47" t="s">
        <v>203</v>
      </c>
      <c r="B40" s="55" t="s">
        <v>6</v>
      </c>
      <c r="C40" s="47" t="s">
        <v>28</v>
      </c>
      <c r="D40" s="47">
        <v>5000</v>
      </c>
      <c r="E40" s="47" t="s">
        <v>190</v>
      </c>
      <c r="F40" s="47">
        <v>3</v>
      </c>
    </row>
    <row r="41" spans="1:6" x14ac:dyDescent="0.2">
      <c r="A41" s="47" t="s">
        <v>202</v>
      </c>
      <c r="B41" s="55" t="s">
        <v>6</v>
      </c>
      <c r="C41" s="47" t="s">
        <v>38</v>
      </c>
      <c r="D41" s="47">
        <v>500</v>
      </c>
      <c r="E41" s="47" t="s">
        <v>191</v>
      </c>
      <c r="F41" s="47">
        <v>1</v>
      </c>
    </row>
    <row r="42" spans="1:6" x14ac:dyDescent="0.2">
      <c r="A42" s="47" t="s">
        <v>202</v>
      </c>
      <c r="B42" s="55" t="s">
        <v>6</v>
      </c>
      <c r="C42" s="47" t="s">
        <v>46</v>
      </c>
      <c r="D42" s="47">
        <v>850</v>
      </c>
      <c r="E42" s="47" t="s">
        <v>192</v>
      </c>
      <c r="F42" s="47">
        <v>2</v>
      </c>
    </row>
    <row r="43" spans="1:6" x14ac:dyDescent="0.2">
      <c r="A43" s="47" t="s">
        <v>202</v>
      </c>
      <c r="B43" s="55" t="s">
        <v>6</v>
      </c>
      <c r="C43" s="47" t="s">
        <v>54</v>
      </c>
      <c r="D43" s="47">
        <v>1000</v>
      </c>
      <c r="E43" s="47" t="s">
        <v>193</v>
      </c>
      <c r="F43" s="47">
        <v>3</v>
      </c>
    </row>
    <row r="44" spans="1:6" x14ac:dyDescent="0.2">
      <c r="A44" s="47" t="s">
        <v>203</v>
      </c>
      <c r="B44" s="51" t="s">
        <v>2</v>
      </c>
      <c r="C44" s="47" t="s">
        <v>29</v>
      </c>
      <c r="D44" s="47">
        <v>4500</v>
      </c>
      <c r="E44" s="47" t="s">
        <v>194</v>
      </c>
      <c r="F44" s="47">
        <v>1</v>
      </c>
    </row>
    <row r="45" spans="1:6" x14ac:dyDescent="0.2">
      <c r="A45" s="47" t="s">
        <v>203</v>
      </c>
      <c r="B45" s="51" t="s">
        <v>2</v>
      </c>
      <c r="C45" s="47" t="s">
        <v>30</v>
      </c>
      <c r="D45" s="47">
        <v>5000</v>
      </c>
      <c r="E45" s="47" t="s">
        <v>195</v>
      </c>
      <c r="F45" s="47">
        <v>2</v>
      </c>
    </row>
    <row r="46" spans="1:6" x14ac:dyDescent="0.2">
      <c r="A46" s="47" t="s">
        <v>203</v>
      </c>
      <c r="B46" s="51" t="s">
        <v>2</v>
      </c>
      <c r="C46" s="47" t="s">
        <v>31</v>
      </c>
      <c r="D46" s="47">
        <v>5000</v>
      </c>
      <c r="E46" s="47" t="s">
        <v>196</v>
      </c>
      <c r="F46" s="47">
        <v>3</v>
      </c>
    </row>
    <row r="47" spans="1:6" x14ac:dyDescent="0.2">
      <c r="A47" s="47" t="s">
        <v>202</v>
      </c>
      <c r="B47" s="51" t="s">
        <v>2</v>
      </c>
      <c r="C47" s="47" t="s">
        <v>39</v>
      </c>
      <c r="D47" s="47">
        <v>1000</v>
      </c>
      <c r="E47" s="47" t="s">
        <v>197</v>
      </c>
      <c r="F47" s="47">
        <v>1</v>
      </c>
    </row>
    <row r="48" spans="1:6" x14ac:dyDescent="0.2">
      <c r="A48" s="47" t="s">
        <v>202</v>
      </c>
      <c r="B48" s="51" t="s">
        <v>2</v>
      </c>
      <c r="C48" s="47" t="s">
        <v>47</v>
      </c>
      <c r="D48" s="47">
        <v>800</v>
      </c>
      <c r="E48" s="47" t="s">
        <v>198</v>
      </c>
      <c r="F48" s="47">
        <v>2</v>
      </c>
    </row>
    <row r="49" spans="1:6" x14ac:dyDescent="0.2">
      <c r="A49" s="47" t="s">
        <v>202</v>
      </c>
      <c r="B49" s="51" t="s">
        <v>2</v>
      </c>
      <c r="C49" s="47" t="s">
        <v>55</v>
      </c>
      <c r="D49" s="47">
        <v>1000</v>
      </c>
      <c r="E49" s="47" t="s">
        <v>199</v>
      </c>
      <c r="F49" s="47">
        <v>3</v>
      </c>
    </row>
  </sheetData>
  <conditionalFormatting sqref="D2:D49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1772E-937F-D74A-AF52-294B133D89FA}">
  <dimension ref="B2:N10"/>
  <sheetViews>
    <sheetView workbookViewId="0">
      <selection activeCell="E22" sqref="E22"/>
    </sheetView>
  </sheetViews>
  <sheetFormatPr baseColWidth="10" defaultRowHeight="16" x14ac:dyDescent="0.2"/>
  <sheetData>
    <row r="2" spans="2:14" x14ac:dyDescent="0.2"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</row>
    <row r="3" spans="2:14" x14ac:dyDescent="0.2">
      <c r="B3" t="s">
        <v>87</v>
      </c>
      <c r="C3" s="5" t="s">
        <v>89</v>
      </c>
      <c r="D3" s="5" t="s">
        <v>89</v>
      </c>
      <c r="E3" s="5" t="s">
        <v>89</v>
      </c>
      <c r="F3" s="5" t="s">
        <v>89</v>
      </c>
      <c r="G3" s="6" t="s">
        <v>89</v>
      </c>
      <c r="H3" s="6" t="s">
        <v>89</v>
      </c>
      <c r="I3" s="6" t="s">
        <v>89</v>
      </c>
      <c r="J3" s="6" t="s">
        <v>89</v>
      </c>
      <c r="K3" s="7" t="s">
        <v>89</v>
      </c>
      <c r="L3" s="7" t="s">
        <v>89</v>
      </c>
      <c r="M3" s="7" t="s">
        <v>89</v>
      </c>
      <c r="N3" s="7" t="s">
        <v>89</v>
      </c>
    </row>
    <row r="4" spans="2:14" x14ac:dyDescent="0.2">
      <c r="B4" t="s">
        <v>88</v>
      </c>
      <c r="C4" s="5" t="s">
        <v>1</v>
      </c>
      <c r="D4" s="5" t="s">
        <v>1</v>
      </c>
      <c r="E4" s="5" t="s">
        <v>1</v>
      </c>
      <c r="F4" s="5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7" t="s">
        <v>1</v>
      </c>
      <c r="L4" s="7" t="s">
        <v>1</v>
      </c>
      <c r="M4" s="7" t="s">
        <v>1</v>
      </c>
      <c r="N4" s="7" t="s">
        <v>1</v>
      </c>
    </row>
    <row r="5" spans="2:14" x14ac:dyDescent="0.2">
      <c r="B5" t="s">
        <v>89</v>
      </c>
      <c r="C5" s="5" t="s">
        <v>0</v>
      </c>
      <c r="D5" s="5" t="s">
        <v>0</v>
      </c>
      <c r="E5" s="5" t="s">
        <v>0</v>
      </c>
      <c r="F5" s="5" t="s">
        <v>0</v>
      </c>
      <c r="G5" s="6" t="s">
        <v>0</v>
      </c>
      <c r="H5" s="6" t="s">
        <v>0</v>
      </c>
      <c r="I5" s="6" t="s">
        <v>0</v>
      </c>
      <c r="J5" s="6" t="s">
        <v>0</v>
      </c>
      <c r="K5" s="7" t="s">
        <v>0</v>
      </c>
      <c r="L5" s="7" t="s">
        <v>0</v>
      </c>
      <c r="M5" s="7" t="s">
        <v>0</v>
      </c>
      <c r="N5" s="7" t="s">
        <v>0</v>
      </c>
    </row>
    <row r="6" spans="2:14" x14ac:dyDescent="0.2">
      <c r="B6" t="s">
        <v>90</v>
      </c>
      <c r="C6" s="5" t="s">
        <v>3</v>
      </c>
      <c r="D6" s="5" t="s">
        <v>3</v>
      </c>
      <c r="E6" s="5" t="s">
        <v>3</v>
      </c>
      <c r="F6" s="5" t="s">
        <v>3</v>
      </c>
      <c r="G6" s="6" t="s">
        <v>3</v>
      </c>
      <c r="H6" s="6" t="s">
        <v>3</v>
      </c>
      <c r="I6" s="6" t="s">
        <v>3</v>
      </c>
      <c r="J6" s="6" t="s">
        <v>3</v>
      </c>
      <c r="K6" s="7" t="s">
        <v>3</v>
      </c>
      <c r="L6" s="7" t="s">
        <v>3</v>
      </c>
      <c r="M6" s="7" t="s">
        <v>3</v>
      </c>
      <c r="N6" s="7" t="s">
        <v>3</v>
      </c>
    </row>
    <row r="7" spans="2:14" x14ac:dyDescent="0.2">
      <c r="B7" t="s">
        <v>91</v>
      </c>
      <c r="C7" s="5" t="s">
        <v>4</v>
      </c>
      <c r="D7" s="5" t="s">
        <v>4</v>
      </c>
      <c r="E7" s="5" t="s">
        <v>4</v>
      </c>
      <c r="F7" s="5" t="s">
        <v>4</v>
      </c>
      <c r="G7" s="6" t="s">
        <v>4</v>
      </c>
      <c r="H7" s="6" t="s">
        <v>4</v>
      </c>
      <c r="I7" s="6" t="s">
        <v>4</v>
      </c>
      <c r="J7" s="6" t="s">
        <v>4</v>
      </c>
      <c r="K7" s="7" t="s">
        <v>4</v>
      </c>
      <c r="L7" s="7" t="s">
        <v>4</v>
      </c>
      <c r="M7" s="7" t="s">
        <v>4</v>
      </c>
      <c r="N7" s="7" t="s">
        <v>4</v>
      </c>
    </row>
    <row r="8" spans="2:14" x14ac:dyDescent="0.2">
      <c r="B8" t="s">
        <v>92</v>
      </c>
      <c r="C8" s="5" t="s">
        <v>5</v>
      </c>
      <c r="D8" s="5" t="s">
        <v>5</v>
      </c>
      <c r="E8" s="5" t="s">
        <v>5</v>
      </c>
      <c r="F8" s="5" t="s">
        <v>5</v>
      </c>
      <c r="G8" s="6" t="s">
        <v>5</v>
      </c>
      <c r="H8" s="6" t="s">
        <v>5</v>
      </c>
      <c r="I8" s="6" t="s">
        <v>5</v>
      </c>
      <c r="J8" s="6" t="s">
        <v>5</v>
      </c>
      <c r="K8" s="7" t="s">
        <v>5</v>
      </c>
      <c r="L8" s="7" t="s">
        <v>5</v>
      </c>
      <c r="M8" s="7" t="s">
        <v>5</v>
      </c>
      <c r="N8" s="7" t="s">
        <v>5</v>
      </c>
    </row>
    <row r="9" spans="2:14" x14ac:dyDescent="0.2">
      <c r="B9" t="s">
        <v>93</v>
      </c>
      <c r="C9" s="5" t="s">
        <v>6</v>
      </c>
      <c r="D9" s="5" t="s">
        <v>6</v>
      </c>
      <c r="E9" s="5" t="s">
        <v>6</v>
      </c>
      <c r="F9" s="5" t="s">
        <v>6</v>
      </c>
      <c r="G9" s="6" t="s">
        <v>6</v>
      </c>
      <c r="H9" s="6" t="s">
        <v>6</v>
      </c>
      <c r="I9" s="6" t="s">
        <v>6</v>
      </c>
      <c r="J9" s="6" t="s">
        <v>6</v>
      </c>
      <c r="K9" s="7" t="s">
        <v>6</v>
      </c>
      <c r="L9" s="7" t="s">
        <v>6</v>
      </c>
      <c r="M9" s="7" t="s">
        <v>6</v>
      </c>
      <c r="N9" s="7" t="s">
        <v>6</v>
      </c>
    </row>
    <row r="10" spans="2:14" x14ac:dyDescent="0.2">
      <c r="B10" t="s">
        <v>94</v>
      </c>
      <c r="C10" s="5" t="s">
        <v>2</v>
      </c>
      <c r="D10" s="5" t="s">
        <v>2</v>
      </c>
      <c r="E10" s="5" t="s">
        <v>2</v>
      </c>
      <c r="F10" s="5" t="s">
        <v>2</v>
      </c>
      <c r="G10" s="6" t="s">
        <v>2</v>
      </c>
      <c r="H10" s="6" t="s">
        <v>2</v>
      </c>
      <c r="I10" s="6" t="s">
        <v>2</v>
      </c>
      <c r="J10" s="6" t="s">
        <v>2</v>
      </c>
      <c r="K10" s="7" t="s">
        <v>2</v>
      </c>
      <c r="L10" s="7" t="s">
        <v>2</v>
      </c>
      <c r="M10" s="7" t="s">
        <v>2</v>
      </c>
      <c r="N10" s="7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3D415-04B8-4C45-A697-D77ACC6D99A9}">
  <dimension ref="B5:R16"/>
  <sheetViews>
    <sheetView workbookViewId="0">
      <selection activeCell="B13" sqref="B13:P13"/>
    </sheetView>
  </sheetViews>
  <sheetFormatPr baseColWidth="10" defaultRowHeight="16" x14ac:dyDescent="0.2"/>
  <sheetData>
    <row r="5" spans="2:18" x14ac:dyDescent="0.2">
      <c r="B5" s="37" t="s">
        <v>110</v>
      </c>
      <c r="C5" s="37"/>
      <c r="D5" s="37" t="s">
        <v>113</v>
      </c>
      <c r="E5" s="37"/>
      <c r="F5" s="37" t="s">
        <v>114</v>
      </c>
      <c r="G5" s="37" t="s">
        <v>115</v>
      </c>
      <c r="H5" s="37" t="s">
        <v>116</v>
      </c>
      <c r="I5" s="38" t="s">
        <v>117</v>
      </c>
      <c r="J5" s="37" t="s">
        <v>118</v>
      </c>
      <c r="K5" s="37" t="s">
        <v>119</v>
      </c>
      <c r="L5" s="37" t="s">
        <v>120</v>
      </c>
      <c r="M5" s="37" t="s">
        <v>121</v>
      </c>
      <c r="N5" s="37" t="s">
        <v>122</v>
      </c>
      <c r="O5" s="37" t="s">
        <v>123</v>
      </c>
      <c r="P5" s="37" t="s">
        <v>124</v>
      </c>
      <c r="Q5" s="37"/>
      <c r="R5" s="37"/>
    </row>
    <row r="6" spans="2:18" x14ac:dyDescent="0.2">
      <c r="B6" s="37">
        <v>1</v>
      </c>
      <c r="C6" s="37"/>
      <c r="D6" s="37" t="s">
        <v>7</v>
      </c>
      <c r="E6" s="37"/>
      <c r="F6" s="37">
        <v>12</v>
      </c>
      <c r="G6" s="37">
        <f t="shared" ref="G6:G13" si="0">F6+3</f>
        <v>15</v>
      </c>
      <c r="H6" s="37">
        <v>100</v>
      </c>
      <c r="I6" s="38">
        <f>G6*H6</f>
        <v>1500</v>
      </c>
      <c r="J6" s="37">
        <f>I6/1000</f>
        <v>1.5</v>
      </c>
      <c r="K6" s="37" t="s">
        <v>96</v>
      </c>
      <c r="L6" s="39"/>
      <c r="M6" s="40">
        <v>0</v>
      </c>
      <c r="N6" s="37">
        <f>I6*M6</f>
        <v>0</v>
      </c>
      <c r="O6" s="41">
        <f>N6-L6</f>
        <v>0</v>
      </c>
      <c r="P6" s="39">
        <f>I6-(L6+N6)</f>
        <v>1500</v>
      </c>
      <c r="Q6" s="37"/>
      <c r="R6" s="37"/>
    </row>
    <row r="7" spans="2:18" x14ac:dyDescent="0.2">
      <c r="B7" s="37">
        <v>2</v>
      </c>
      <c r="C7" s="37"/>
      <c r="D7" s="37" t="s">
        <v>107</v>
      </c>
      <c r="E7" s="37"/>
      <c r="F7" s="37">
        <v>12</v>
      </c>
      <c r="G7" s="37">
        <f t="shared" si="0"/>
        <v>15</v>
      </c>
      <c r="H7" s="37">
        <v>100</v>
      </c>
      <c r="I7" s="38">
        <f t="shared" ref="I7:I8" si="1">G7*H7</f>
        <v>1500</v>
      </c>
      <c r="J7" s="37">
        <f t="shared" ref="J7:J8" si="2">I7/1000</f>
        <v>1.5</v>
      </c>
      <c r="K7" s="37" t="s">
        <v>96</v>
      </c>
      <c r="L7" s="39"/>
      <c r="M7" s="40">
        <v>0.01</v>
      </c>
      <c r="N7" s="37">
        <f>I7*M7</f>
        <v>15</v>
      </c>
      <c r="O7" s="41">
        <f>N7-L7</f>
        <v>15</v>
      </c>
      <c r="P7" s="39">
        <f t="shared" ref="P7:P8" si="3">I7-(L7+N7)</f>
        <v>1485</v>
      </c>
      <c r="Q7" s="37"/>
      <c r="R7" s="37"/>
    </row>
    <row r="8" spans="2:18" x14ac:dyDescent="0.2">
      <c r="B8" s="37">
        <v>3</v>
      </c>
      <c r="C8" s="37" t="s">
        <v>3</v>
      </c>
      <c r="D8" s="37" t="s">
        <v>125</v>
      </c>
      <c r="E8" s="37">
        <v>2</v>
      </c>
      <c r="F8" s="37">
        <v>12</v>
      </c>
      <c r="G8" s="37">
        <f t="shared" si="0"/>
        <v>15</v>
      </c>
      <c r="H8" s="37">
        <v>100</v>
      </c>
      <c r="I8" s="38">
        <f t="shared" si="1"/>
        <v>1500</v>
      </c>
      <c r="J8" s="37">
        <f t="shared" si="2"/>
        <v>1.5</v>
      </c>
      <c r="K8" s="37" t="s">
        <v>96</v>
      </c>
      <c r="L8" s="39">
        <f t="shared" ref="L8" si="4">(E8/1000)*I8</f>
        <v>3</v>
      </c>
      <c r="M8" s="40">
        <v>0.01</v>
      </c>
      <c r="N8" s="37">
        <f t="shared" ref="N8" si="5">I8*M8</f>
        <v>15</v>
      </c>
      <c r="O8" s="41">
        <f t="shared" ref="O8" si="6">N8-L8</f>
        <v>12</v>
      </c>
      <c r="P8" s="39">
        <f t="shared" si="3"/>
        <v>1482</v>
      </c>
      <c r="Q8" s="37"/>
      <c r="R8" s="37"/>
    </row>
    <row r="9" spans="2:18" x14ac:dyDescent="0.2">
      <c r="B9" s="37">
        <v>4</v>
      </c>
      <c r="C9" s="37" t="s">
        <v>4</v>
      </c>
      <c r="D9" s="37" t="s">
        <v>125</v>
      </c>
      <c r="E9" s="37">
        <v>2</v>
      </c>
      <c r="F9" s="37">
        <v>12</v>
      </c>
      <c r="G9" s="37">
        <f t="shared" si="0"/>
        <v>15</v>
      </c>
      <c r="H9" s="37">
        <v>100</v>
      </c>
      <c r="I9" s="38">
        <f t="shared" ref="I9:I10" si="7">G9*H9</f>
        <v>1500</v>
      </c>
      <c r="J9" s="37">
        <f t="shared" ref="J9:J10" si="8">I9/1000</f>
        <v>1.5</v>
      </c>
      <c r="K9" s="37" t="s">
        <v>96</v>
      </c>
      <c r="L9" s="39">
        <f t="shared" ref="L9:L10" si="9">(E9/1000)*I9</f>
        <v>3</v>
      </c>
      <c r="M9" s="40">
        <v>0.01</v>
      </c>
      <c r="N9" s="37">
        <f t="shared" ref="N9:N10" si="10">I9*M9</f>
        <v>15</v>
      </c>
      <c r="O9" s="41">
        <f t="shared" ref="O9:O10" si="11">N9-L9</f>
        <v>12</v>
      </c>
      <c r="P9" s="39">
        <f t="shared" ref="P9:P10" si="12">I9-(L9+N9)</f>
        <v>1482</v>
      </c>
      <c r="Q9" s="37"/>
      <c r="R9" s="37"/>
    </row>
    <row r="10" spans="2:18" x14ac:dyDescent="0.2">
      <c r="B10" s="37">
        <v>5</v>
      </c>
      <c r="C10" s="37" t="s">
        <v>5</v>
      </c>
      <c r="D10" s="37" t="s">
        <v>125</v>
      </c>
      <c r="E10" s="37">
        <v>2</v>
      </c>
      <c r="F10" s="37">
        <v>12</v>
      </c>
      <c r="G10" s="37">
        <f t="shared" si="0"/>
        <v>15</v>
      </c>
      <c r="H10" s="37">
        <v>100</v>
      </c>
      <c r="I10" s="38">
        <f t="shared" si="7"/>
        <v>1500</v>
      </c>
      <c r="J10" s="37">
        <f t="shared" si="8"/>
        <v>1.5</v>
      </c>
      <c r="K10" s="37" t="s">
        <v>96</v>
      </c>
      <c r="L10" s="39">
        <f t="shared" si="9"/>
        <v>3</v>
      </c>
      <c r="M10" s="40">
        <v>0.01</v>
      </c>
      <c r="N10" s="37">
        <f t="shared" si="10"/>
        <v>15</v>
      </c>
      <c r="O10" s="41">
        <f t="shared" si="11"/>
        <v>12</v>
      </c>
      <c r="P10" s="39">
        <f t="shared" si="12"/>
        <v>1482</v>
      </c>
      <c r="Q10" s="37"/>
      <c r="R10" s="37"/>
    </row>
    <row r="11" spans="2:18" x14ac:dyDescent="0.2">
      <c r="B11" s="37">
        <v>6</v>
      </c>
      <c r="C11" s="37" t="s">
        <v>6</v>
      </c>
      <c r="D11" s="37" t="s">
        <v>125</v>
      </c>
      <c r="E11" s="37">
        <v>2</v>
      </c>
      <c r="F11" s="37">
        <v>12</v>
      </c>
      <c r="G11" s="37">
        <f t="shared" si="0"/>
        <v>15</v>
      </c>
      <c r="H11" s="37">
        <v>100</v>
      </c>
      <c r="I11" s="38">
        <f t="shared" ref="I11" si="13">G11*H11</f>
        <v>1500</v>
      </c>
      <c r="J11" s="37">
        <f t="shared" ref="J11" si="14">I11/1000</f>
        <v>1.5</v>
      </c>
      <c r="K11" s="37" t="s">
        <v>96</v>
      </c>
      <c r="L11" s="39">
        <f t="shared" ref="L11" si="15">(E11/1000)*I11</f>
        <v>3</v>
      </c>
      <c r="M11" s="40">
        <v>0.01</v>
      </c>
      <c r="N11" s="37">
        <f t="shared" ref="N11" si="16">I11*M11</f>
        <v>15</v>
      </c>
      <c r="O11" s="41">
        <f t="shared" ref="O11" si="17">N11-L11</f>
        <v>12</v>
      </c>
      <c r="P11" s="39">
        <f t="shared" ref="P11" si="18">I11-(L11+N11)</f>
        <v>1482</v>
      </c>
      <c r="Q11" s="37"/>
      <c r="R11" s="37"/>
    </row>
    <row r="12" spans="2:18" x14ac:dyDescent="0.2">
      <c r="B12" s="37">
        <v>7</v>
      </c>
      <c r="C12" s="37" t="s">
        <v>0</v>
      </c>
      <c r="D12" s="37" t="s">
        <v>125</v>
      </c>
      <c r="E12" s="37">
        <v>2</v>
      </c>
      <c r="F12" s="37">
        <f t="shared" ref="F12:F13" si="19">3*4</f>
        <v>12</v>
      </c>
      <c r="G12" s="37">
        <f t="shared" si="0"/>
        <v>15</v>
      </c>
      <c r="H12" s="37">
        <v>100</v>
      </c>
      <c r="I12" s="38">
        <f>G12*H12</f>
        <v>1500</v>
      </c>
      <c r="J12" s="37">
        <f>I12/1000</f>
        <v>1.5</v>
      </c>
      <c r="K12" s="37" t="s">
        <v>96</v>
      </c>
      <c r="L12" s="42">
        <f>(E12/1000)*I12</f>
        <v>3</v>
      </c>
      <c r="M12" s="40">
        <v>0.01</v>
      </c>
      <c r="N12" s="37">
        <f>I12*M12</f>
        <v>15</v>
      </c>
      <c r="O12" s="43">
        <f>N12-L12</f>
        <v>12</v>
      </c>
      <c r="P12" s="42">
        <f>I12-(L12+N12)</f>
        <v>1482</v>
      </c>
      <c r="Q12" s="37"/>
      <c r="R12" s="37"/>
    </row>
    <row r="13" spans="2:18" x14ac:dyDescent="0.2">
      <c r="B13" s="37">
        <v>8</v>
      </c>
      <c r="C13" s="37" t="s">
        <v>2</v>
      </c>
      <c r="D13" s="37" t="s">
        <v>126</v>
      </c>
      <c r="E13" s="44">
        <v>500</v>
      </c>
      <c r="F13" s="44">
        <f t="shared" si="19"/>
        <v>12</v>
      </c>
      <c r="G13" s="44">
        <f t="shared" si="0"/>
        <v>15</v>
      </c>
      <c r="H13" s="44">
        <v>100</v>
      </c>
      <c r="I13" s="45">
        <f>G13*H13</f>
        <v>1500</v>
      </c>
      <c r="J13" s="44">
        <f>I13/1000</f>
        <v>1.5</v>
      </c>
      <c r="K13" s="44" t="s">
        <v>127</v>
      </c>
      <c r="L13" s="44">
        <f>(E13/100000)*I13</f>
        <v>7.5</v>
      </c>
      <c r="M13" s="46">
        <v>0.01</v>
      </c>
      <c r="N13" s="44">
        <f>I13*M13</f>
        <v>15</v>
      </c>
      <c r="O13" s="45">
        <f>N13-L13</f>
        <v>7.5</v>
      </c>
      <c r="P13" s="44">
        <f>I13-(L13+N13)</f>
        <v>1477.5</v>
      </c>
    </row>
    <row r="16" spans="2:18" x14ac:dyDescent="0.2">
      <c r="J16">
        <f>SUM(J6:J13)</f>
        <v>12</v>
      </c>
    </row>
  </sheetData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7866C-47FC-7048-BF05-CB5315D93822}">
  <dimension ref="B3:P27"/>
  <sheetViews>
    <sheetView workbookViewId="0">
      <selection activeCell="O20" sqref="O20"/>
    </sheetView>
  </sheetViews>
  <sheetFormatPr baseColWidth="10" defaultRowHeight="16" x14ac:dyDescent="0.2"/>
  <sheetData>
    <row r="3" spans="2:16" ht="17" x14ac:dyDescent="0.25">
      <c r="B3" s="8" t="s">
        <v>3</v>
      </c>
      <c r="C3" s="9" t="s">
        <v>96</v>
      </c>
      <c r="D3" s="9" t="s">
        <v>97</v>
      </c>
      <c r="F3" s="34">
        <v>7.8333333333330301E-4</v>
      </c>
      <c r="G3" s="11" t="s">
        <v>98</v>
      </c>
      <c r="H3" s="12"/>
      <c r="I3" s="12"/>
      <c r="J3" s="12"/>
      <c r="K3" s="13" t="s">
        <v>99</v>
      </c>
      <c r="L3" s="12">
        <f>F3/(F4*I4)</f>
        <v>8.9352253197666541E-4</v>
      </c>
      <c r="M3" s="11" t="s">
        <v>100</v>
      </c>
      <c r="N3" s="13" t="s">
        <v>99</v>
      </c>
      <c r="O3" s="14">
        <f>L3*1000000</f>
        <v>893.52253197666539</v>
      </c>
      <c r="P3" s="15" t="s">
        <v>101</v>
      </c>
    </row>
    <row r="4" spans="2:16" ht="17" x14ac:dyDescent="0.25">
      <c r="F4" s="16">
        <v>1E-3</v>
      </c>
      <c r="G4" s="17" t="s">
        <v>102</v>
      </c>
      <c r="H4" s="17" t="s">
        <v>103</v>
      </c>
      <c r="I4" s="18">
        <v>876.68</v>
      </c>
      <c r="J4" s="17" t="s">
        <v>104</v>
      </c>
      <c r="K4" s="19"/>
      <c r="L4" s="19"/>
      <c r="M4" s="19"/>
      <c r="N4" s="19"/>
      <c r="O4" s="19"/>
      <c r="P4" s="20"/>
    </row>
    <row r="7" spans="2:16" ht="17" x14ac:dyDescent="0.25">
      <c r="B7" s="21" t="s">
        <v>4</v>
      </c>
      <c r="C7" s="9" t="s">
        <v>96</v>
      </c>
      <c r="D7" s="9" t="s">
        <v>97</v>
      </c>
      <c r="F7" s="34">
        <v>4.1666666666674248E-4</v>
      </c>
      <c r="G7" s="11" t="s">
        <v>98</v>
      </c>
      <c r="H7" s="12"/>
      <c r="I7" s="12"/>
      <c r="J7" s="12"/>
      <c r="K7" s="13" t="s">
        <v>99</v>
      </c>
      <c r="L7" s="12">
        <f>F7/(F8*I8)</f>
        <v>4.7692084640105128E-4</v>
      </c>
      <c r="M7" s="11" t="s">
        <v>100</v>
      </c>
      <c r="N7" s="13" t="s">
        <v>99</v>
      </c>
      <c r="O7" s="14">
        <f>L7*1000000</f>
        <v>476.92084640105128</v>
      </c>
      <c r="P7" s="15" t="s">
        <v>101</v>
      </c>
    </row>
    <row r="8" spans="2:16" ht="17" x14ac:dyDescent="0.25">
      <c r="F8" s="16">
        <v>1E-3</v>
      </c>
      <c r="G8" s="17" t="s">
        <v>102</v>
      </c>
      <c r="H8" s="17" t="s">
        <v>103</v>
      </c>
      <c r="I8" s="18">
        <v>873.66</v>
      </c>
      <c r="J8" s="17" t="s">
        <v>104</v>
      </c>
      <c r="K8" s="19"/>
      <c r="L8" s="19"/>
      <c r="M8" s="19"/>
      <c r="N8" s="19"/>
      <c r="O8" s="19"/>
      <c r="P8" s="20"/>
    </row>
    <row r="11" spans="2:16" ht="17" x14ac:dyDescent="0.25">
      <c r="B11" s="7" t="s">
        <v>5</v>
      </c>
      <c r="C11" s="9" t="s">
        <v>96</v>
      </c>
      <c r="D11" s="9" t="s">
        <v>97</v>
      </c>
      <c r="F11" s="35">
        <v>3.5333333333335305E-4</v>
      </c>
      <c r="G11" s="11" t="s">
        <v>98</v>
      </c>
      <c r="H11" s="12"/>
      <c r="I11" s="12"/>
      <c r="J11" s="12"/>
      <c r="K11" s="13" t="s">
        <v>99</v>
      </c>
      <c r="L11" s="12">
        <f>F11/(F12*I12)</f>
        <v>2.1794779981594497E-4</v>
      </c>
      <c r="M11" s="11" t="s">
        <v>100</v>
      </c>
      <c r="N11" s="13" t="s">
        <v>99</v>
      </c>
      <c r="O11" s="14">
        <f>L11*1000000</f>
        <v>217.94779981594496</v>
      </c>
      <c r="P11" s="15" t="s">
        <v>101</v>
      </c>
    </row>
    <row r="12" spans="2:16" ht="17" x14ac:dyDescent="0.25">
      <c r="F12" s="16">
        <v>1E-3</v>
      </c>
      <c r="G12" s="17" t="s">
        <v>102</v>
      </c>
      <c r="H12" s="17" t="s">
        <v>103</v>
      </c>
      <c r="I12" s="18">
        <v>1621.1832999999999</v>
      </c>
      <c r="J12" s="17" t="s">
        <v>104</v>
      </c>
      <c r="K12" s="19"/>
      <c r="L12" s="19"/>
      <c r="M12" s="19"/>
      <c r="N12" s="19"/>
      <c r="O12" s="19"/>
      <c r="P12" s="20"/>
    </row>
    <row r="15" spans="2:16" ht="17" x14ac:dyDescent="0.25">
      <c r="B15" s="22" t="s">
        <v>6</v>
      </c>
      <c r="C15" s="9" t="s">
        <v>96</v>
      </c>
      <c r="D15" s="9" t="s">
        <v>97</v>
      </c>
      <c r="F15" s="10">
        <v>2.5000000000000001E-4</v>
      </c>
      <c r="G15" s="11" t="s">
        <v>98</v>
      </c>
      <c r="H15" s="12"/>
      <c r="I15" s="12"/>
      <c r="J15" s="12"/>
      <c r="K15" s="13" t="s">
        <v>99</v>
      </c>
      <c r="L15" s="12">
        <f>F15/(F16*I16)</f>
        <v>2.8846831746699893E-4</v>
      </c>
      <c r="M15" s="11" t="s">
        <v>100</v>
      </c>
      <c r="N15" s="13" t="s">
        <v>99</v>
      </c>
      <c r="O15" s="14">
        <f>L15*1000000</f>
        <v>288.46831746699894</v>
      </c>
      <c r="P15" s="15" t="s">
        <v>101</v>
      </c>
    </row>
    <row r="16" spans="2:16" ht="17" x14ac:dyDescent="0.25">
      <c r="B16" t="s">
        <v>105</v>
      </c>
      <c r="F16" s="16">
        <v>1E-3</v>
      </c>
      <c r="G16" s="17" t="s">
        <v>102</v>
      </c>
      <c r="H16" s="17" t="s">
        <v>103</v>
      </c>
      <c r="I16" s="18">
        <v>866.6463</v>
      </c>
      <c r="J16" s="17" t="s">
        <v>104</v>
      </c>
      <c r="K16" s="19"/>
      <c r="L16" s="19"/>
      <c r="M16" s="19"/>
      <c r="N16" s="19"/>
      <c r="O16" s="19"/>
      <c r="P16" s="20"/>
    </row>
    <row r="20" spans="2:16" ht="17" x14ac:dyDescent="0.25">
      <c r="B20" s="23" t="s">
        <v>0</v>
      </c>
      <c r="C20" s="9" t="s">
        <v>96</v>
      </c>
      <c r="D20" s="9" t="s">
        <v>97</v>
      </c>
      <c r="F20" s="34">
        <v>4.6666666666669697E-4</v>
      </c>
      <c r="G20" s="11" t="s">
        <v>98</v>
      </c>
      <c r="H20" s="12"/>
      <c r="I20" s="12"/>
      <c r="J20" s="12"/>
      <c r="K20" s="13" t="s">
        <v>99</v>
      </c>
      <c r="L20" s="12">
        <f>F20/(F21*I21)</f>
        <v>6.8780183446579457E-4</v>
      </c>
      <c r="M20" s="11" t="s">
        <v>100</v>
      </c>
      <c r="N20" s="13" t="s">
        <v>99</v>
      </c>
      <c r="O20" s="24">
        <f>L20*1000000</f>
        <v>687.80183446579451</v>
      </c>
      <c r="P20" s="25" t="s">
        <v>101</v>
      </c>
    </row>
    <row r="21" spans="2:16" ht="17" x14ac:dyDescent="0.25">
      <c r="B21" s="23"/>
      <c r="F21" s="16">
        <v>1E-3</v>
      </c>
      <c r="G21" s="17" t="s">
        <v>102</v>
      </c>
      <c r="H21" s="17" t="s">
        <v>103</v>
      </c>
      <c r="I21" s="19">
        <v>678.49</v>
      </c>
      <c r="J21" s="17" t="s">
        <v>104</v>
      </c>
      <c r="K21" s="19"/>
      <c r="L21" s="19"/>
      <c r="M21" s="19"/>
      <c r="N21" s="19"/>
      <c r="O21" s="19"/>
      <c r="P21" s="20"/>
    </row>
    <row r="26" spans="2:16" ht="17" x14ac:dyDescent="0.25">
      <c r="B26" s="59" t="s">
        <v>2</v>
      </c>
      <c r="D26" s="9" t="s">
        <v>106</v>
      </c>
      <c r="F26" s="26">
        <v>0.01</v>
      </c>
      <c r="G26" s="11" t="s">
        <v>98</v>
      </c>
      <c r="H26" s="12"/>
      <c r="I26" s="12"/>
      <c r="J26" s="12"/>
      <c r="K26" s="13" t="s">
        <v>99</v>
      </c>
      <c r="L26" s="12">
        <f>F26/(F27*I27)</f>
        <v>5.149569238533197E-4</v>
      </c>
      <c r="M26" s="11" t="s">
        <v>100</v>
      </c>
      <c r="N26" s="13" t="s">
        <v>99</v>
      </c>
      <c r="O26" s="24">
        <f>L26*1000000</f>
        <v>514.95692385331972</v>
      </c>
      <c r="P26" s="25" t="s">
        <v>101</v>
      </c>
    </row>
    <row r="27" spans="2:16" ht="17" x14ac:dyDescent="0.25">
      <c r="B27" s="60"/>
      <c r="F27" s="16">
        <v>0.1</v>
      </c>
      <c r="G27" s="17" t="s">
        <v>102</v>
      </c>
      <c r="H27" s="17" t="s">
        <v>103</v>
      </c>
      <c r="I27" s="27">
        <v>194.191</v>
      </c>
      <c r="J27" s="17" t="s">
        <v>104</v>
      </c>
      <c r="K27" s="19"/>
      <c r="L27" s="19"/>
      <c r="M27" s="19"/>
      <c r="N27" s="19"/>
      <c r="O27" s="19"/>
      <c r="P27" s="20"/>
    </row>
  </sheetData>
  <mergeCells count="1">
    <mergeCell ref="B26:B27"/>
  </mergeCells>
  <conditionalFormatting sqref="D22:I27 B22:B27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0069B-1522-3540-968F-532D7D430BE5}">
  <dimension ref="C4:H8"/>
  <sheetViews>
    <sheetView workbookViewId="0">
      <selection activeCell="I13" sqref="I13"/>
    </sheetView>
  </sheetViews>
  <sheetFormatPr baseColWidth="10" defaultRowHeight="16" x14ac:dyDescent="0.2"/>
  <cols>
    <col min="8" max="8" width="12.6640625" bestFit="1" customWidth="1"/>
  </cols>
  <sheetData>
    <row r="4" spans="3:8" x14ac:dyDescent="0.2">
      <c r="D4" t="s">
        <v>110</v>
      </c>
      <c r="F4" t="s">
        <v>112</v>
      </c>
      <c r="G4" t="s">
        <v>98</v>
      </c>
      <c r="H4" t="s">
        <v>111</v>
      </c>
    </row>
    <row r="5" spans="3:8" x14ac:dyDescent="0.2">
      <c r="C5" t="s">
        <v>3</v>
      </c>
      <c r="D5">
        <v>4</v>
      </c>
      <c r="E5" s="28">
        <v>4</v>
      </c>
      <c r="F5" s="29">
        <v>0.78333333333330302</v>
      </c>
      <c r="G5" s="34">
        <v>7.8333333333330301E-4</v>
      </c>
      <c r="H5" s="36">
        <v>893.52253197666539</v>
      </c>
    </row>
    <row r="6" spans="3:8" x14ac:dyDescent="0.2">
      <c r="C6" t="s">
        <v>108</v>
      </c>
      <c r="D6">
        <v>4</v>
      </c>
      <c r="E6" s="30">
        <v>4</v>
      </c>
      <c r="F6" s="29">
        <v>0.41666666666674246</v>
      </c>
      <c r="G6" s="34">
        <v>4.1666666666674248E-4</v>
      </c>
      <c r="H6" s="36">
        <v>476.92084640105128</v>
      </c>
    </row>
    <row r="7" spans="3:8" x14ac:dyDescent="0.2">
      <c r="C7" t="s">
        <v>5</v>
      </c>
      <c r="D7">
        <v>1</v>
      </c>
      <c r="E7" s="31">
        <v>1</v>
      </c>
      <c r="F7" s="32">
        <v>0.35333333333335304</v>
      </c>
      <c r="G7" s="35">
        <v>3.5333333333335305E-4</v>
      </c>
      <c r="H7" s="36">
        <v>217.94779981594496</v>
      </c>
    </row>
    <row r="8" spans="3:8" x14ac:dyDescent="0.2">
      <c r="C8" t="s">
        <v>109</v>
      </c>
      <c r="D8">
        <v>4</v>
      </c>
      <c r="E8" s="33">
        <v>4</v>
      </c>
      <c r="F8" s="29">
        <v>0.46666666666669698</v>
      </c>
      <c r="G8" s="34">
        <v>4.6666666666669697E-4</v>
      </c>
      <c r="H8" s="36">
        <v>687.8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Samples</vt:lpstr>
      <vt:lpstr>Sorting</vt:lpstr>
      <vt:lpstr>Final_annotation</vt:lpstr>
      <vt:lpstr>Layout</vt:lpstr>
      <vt:lpstr>Calculation</vt:lpstr>
      <vt:lpstr>Stock</vt:lpstr>
      <vt:lpstr>Drugs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Wolfram</dc:creator>
  <cp:lastModifiedBy>Maik Wolfram-Schauerte</cp:lastModifiedBy>
  <dcterms:created xsi:type="dcterms:W3CDTF">2025-05-22T16:21:57Z</dcterms:created>
  <dcterms:modified xsi:type="dcterms:W3CDTF">2025-11-26T21:34:05Z</dcterms:modified>
</cp:coreProperties>
</file>